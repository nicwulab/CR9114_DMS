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quan/PycharmProjects/antibody project/HV1-69/CDRH3_affinity/"/>
    </mc:Choice>
  </mc:AlternateContent>
  <xr:revisionPtr revIDLastSave="0" documentId="13_ncr:1_{AE0C2D53-952C-D84A-A9A4-65BF4E276471}" xr6:coauthVersionLast="47" xr6:coauthVersionMax="47" xr10:uidLastSave="{00000000-0000-0000-0000-000000000000}"/>
  <bookViews>
    <workbookView xWindow="10660" yWindow="2280" windowWidth="25600" windowHeight="14280" xr2:uid="{00000000-000D-0000-FFFF-FFFF00000000}"/>
  </bookViews>
  <sheets>
    <sheet name="For Yiquan" sheetId="4" r:id="rId1"/>
    <sheet name="Data" sheetId="1" r:id="rId2"/>
    <sheet name="Plate Maps" sheetId="3" r:id="rId3"/>
    <sheet name="Sheet2" sheetId="2" r:id="rId4"/>
  </sheets>
  <definedNames>
    <definedName name="_xlnm._FilterDatabase" localSheetId="1" hidden="1">Data!$A$1:$Q$88</definedName>
    <definedName name="_xlnm.Print_Area" localSheetId="1">Data!$N$1:$U$82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9" i="3" l="1"/>
  <c r="AF9" i="3"/>
  <c r="AE10" i="3"/>
  <c r="AE11" i="3"/>
  <c r="AE12" i="3"/>
  <c r="AE13" i="3"/>
  <c r="AE14" i="3"/>
  <c r="AE15" i="3"/>
  <c r="AE16" i="3"/>
  <c r="AA9" i="3"/>
  <c r="AB9" i="3"/>
  <c r="AC9" i="3"/>
  <c r="AD9" i="3"/>
  <c r="AA10" i="3"/>
  <c r="AB10" i="3"/>
  <c r="AC10" i="3"/>
  <c r="AD10" i="3"/>
  <c r="AA11" i="3"/>
  <c r="AB11" i="3"/>
  <c r="AC11" i="3"/>
  <c r="AD11" i="3"/>
  <c r="AA12" i="3"/>
  <c r="AB12" i="3"/>
  <c r="AC12" i="3"/>
  <c r="AD12" i="3"/>
  <c r="AA13" i="3"/>
  <c r="AB13" i="3"/>
  <c r="AC13" i="3"/>
  <c r="AD13" i="3"/>
  <c r="AA14" i="3"/>
  <c r="AB14" i="3"/>
  <c r="AC14" i="3"/>
  <c r="AD14" i="3"/>
  <c r="AA15" i="3"/>
  <c r="AB15" i="3"/>
  <c r="AC15" i="3"/>
  <c r="AD15" i="3"/>
  <c r="AA16" i="3"/>
  <c r="AB16" i="3"/>
  <c r="AC16" i="3"/>
  <c r="AD16" i="3"/>
  <c r="W9" i="3"/>
  <c r="X9" i="3"/>
  <c r="Y9" i="3"/>
  <c r="Z9" i="3"/>
  <c r="W10" i="3"/>
  <c r="X10" i="3"/>
  <c r="Y10" i="3"/>
  <c r="Z10" i="3"/>
  <c r="W11" i="3"/>
  <c r="X11" i="3"/>
  <c r="Y11" i="3"/>
  <c r="Z11" i="3"/>
  <c r="W12" i="3"/>
  <c r="X12" i="3"/>
  <c r="Y12" i="3"/>
  <c r="Z12" i="3"/>
  <c r="W13" i="3"/>
  <c r="X13" i="3"/>
  <c r="Y13" i="3"/>
  <c r="Z13" i="3"/>
  <c r="W14" i="3"/>
  <c r="X14" i="3"/>
  <c r="Y14" i="3"/>
  <c r="Z14" i="3"/>
  <c r="W15" i="3"/>
  <c r="X15" i="3"/>
  <c r="Y15" i="3"/>
  <c r="Z15" i="3"/>
  <c r="W16" i="3"/>
  <c r="X16" i="3"/>
  <c r="Y16" i="3"/>
  <c r="Z16" i="3"/>
  <c r="V10" i="3"/>
  <c r="V11" i="3"/>
  <c r="V12" i="3"/>
  <c r="V13" i="3"/>
  <c r="V14" i="3"/>
  <c r="V15" i="3"/>
  <c r="V16" i="3"/>
  <c r="V9" i="3"/>
  <c r="X32" i="3"/>
  <c r="Y32" i="3"/>
  <c r="Z32" i="3"/>
  <c r="AA32" i="3"/>
  <c r="AB32" i="3"/>
  <c r="AC32" i="3"/>
  <c r="AD32" i="3"/>
  <c r="AE32" i="3"/>
  <c r="AF32" i="3"/>
  <c r="X33" i="3"/>
  <c r="Y33" i="3"/>
  <c r="Z33" i="3"/>
  <c r="AA33" i="3"/>
  <c r="AB33" i="3"/>
  <c r="AC33" i="3"/>
  <c r="AD33" i="3"/>
  <c r="AE33" i="3"/>
  <c r="X34" i="3"/>
  <c r="Y34" i="3"/>
  <c r="Z34" i="3"/>
  <c r="AA34" i="3"/>
  <c r="AB34" i="3"/>
  <c r="AC34" i="3"/>
  <c r="AD34" i="3"/>
  <c r="AE34" i="3"/>
  <c r="X35" i="3"/>
  <c r="Y35" i="3"/>
  <c r="Z35" i="3"/>
  <c r="AA35" i="3"/>
  <c r="AB35" i="3"/>
  <c r="AC35" i="3"/>
  <c r="AD35" i="3"/>
  <c r="AE35" i="3"/>
  <c r="X36" i="3"/>
  <c r="Y36" i="3"/>
  <c r="Z36" i="3"/>
  <c r="AA36" i="3"/>
  <c r="AB36" i="3"/>
  <c r="AC36" i="3"/>
  <c r="AD36" i="3"/>
  <c r="AE36" i="3"/>
  <c r="X37" i="3"/>
  <c r="Y37" i="3"/>
  <c r="Z37" i="3"/>
  <c r="AA37" i="3"/>
  <c r="AB37" i="3"/>
  <c r="AC37" i="3"/>
  <c r="AD37" i="3"/>
  <c r="AE37" i="3"/>
  <c r="X38" i="3"/>
  <c r="Y38" i="3"/>
  <c r="Z38" i="3"/>
  <c r="AA38" i="3"/>
  <c r="AB38" i="3"/>
  <c r="AC38" i="3"/>
  <c r="AD38" i="3"/>
  <c r="AE38" i="3"/>
  <c r="X39" i="3"/>
  <c r="Y39" i="3"/>
  <c r="Z39" i="3"/>
  <c r="AA39" i="3"/>
  <c r="AB39" i="3"/>
  <c r="AC39" i="3"/>
  <c r="AD39" i="3"/>
  <c r="AE39" i="3"/>
  <c r="W32" i="3"/>
  <c r="W33" i="3"/>
  <c r="W34" i="3"/>
  <c r="W35" i="3"/>
  <c r="W36" i="3"/>
  <c r="W37" i="3"/>
  <c r="W38" i="3"/>
  <c r="W39" i="3"/>
  <c r="V33" i="3"/>
  <c r="V34" i="3"/>
  <c r="V35" i="3"/>
  <c r="V36" i="3"/>
  <c r="V37" i="3"/>
  <c r="V38" i="3"/>
  <c r="V39" i="3"/>
  <c r="V32" i="3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2" i="1"/>
  <c r="T73" i="1"/>
  <c r="T74" i="1"/>
  <c r="T75" i="1"/>
  <c r="T76" i="1"/>
  <c r="T77" i="1"/>
  <c r="T78" i="1"/>
  <c r="T79" i="1"/>
  <c r="T80" i="1"/>
  <c r="T81" i="1"/>
  <c r="T82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" i="1"/>
  <c r="T4" i="1"/>
  <c r="T5" i="1"/>
  <c r="T6" i="1"/>
  <c r="T7" i="1"/>
  <c r="T8" i="1"/>
  <c r="T9" i="1"/>
  <c r="T10" i="1"/>
  <c r="T11" i="1"/>
  <c r="T12" i="1"/>
  <c r="T13" i="1"/>
  <c r="T14" i="1"/>
  <c r="T2" i="1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AM11" i="2"/>
  <c r="AK11" i="2"/>
  <c r="AI11" i="2"/>
  <c r="AG11" i="2"/>
  <c r="AE11" i="2"/>
  <c r="AC11" i="2"/>
  <c r="AA11" i="2"/>
  <c r="Y11" i="2"/>
  <c r="AN11" i="2"/>
  <c r="AL11" i="2"/>
  <c r="AJ11" i="2"/>
  <c r="AH11" i="2"/>
  <c r="AF11" i="2"/>
  <c r="AD11" i="2"/>
  <c r="AB11" i="2"/>
  <c r="Z11" i="2"/>
  <c r="P82" i="1"/>
  <c r="P81" i="1"/>
  <c r="P76" i="1"/>
  <c r="P77" i="1"/>
  <c r="P78" i="1"/>
  <c r="P79" i="1"/>
  <c r="P80" i="1"/>
  <c r="P65" i="1"/>
  <c r="P66" i="1"/>
  <c r="P67" i="1"/>
  <c r="P68" i="1"/>
  <c r="P69" i="1"/>
  <c r="P70" i="1"/>
  <c r="P71" i="1"/>
  <c r="P72" i="1"/>
  <c r="P73" i="1"/>
  <c r="P74" i="1"/>
  <c r="P75" i="1"/>
  <c r="P53" i="1"/>
  <c r="P54" i="1"/>
  <c r="P55" i="1"/>
  <c r="P56" i="1"/>
  <c r="P57" i="1"/>
  <c r="P58" i="1"/>
  <c r="P59" i="1"/>
  <c r="P60" i="1"/>
  <c r="P61" i="1"/>
  <c r="P62" i="1"/>
  <c r="P63" i="1"/>
  <c r="P64" i="1"/>
  <c r="P45" i="1"/>
  <c r="P46" i="1"/>
  <c r="P47" i="1"/>
  <c r="P48" i="1"/>
  <c r="P49" i="1"/>
  <c r="P50" i="1"/>
  <c r="P51" i="1"/>
  <c r="P52" i="1"/>
  <c r="P34" i="1"/>
  <c r="P35" i="1"/>
  <c r="P36" i="1"/>
  <c r="P37" i="1"/>
  <c r="P38" i="1"/>
  <c r="P39" i="1"/>
  <c r="P40" i="1"/>
  <c r="P41" i="1"/>
  <c r="P42" i="1"/>
  <c r="P43" i="1"/>
  <c r="P44" i="1"/>
  <c r="P24" i="1"/>
  <c r="P25" i="1"/>
  <c r="P26" i="1"/>
  <c r="P27" i="1"/>
  <c r="P28" i="1"/>
  <c r="P29" i="1"/>
  <c r="P30" i="1"/>
  <c r="P31" i="1"/>
  <c r="P32" i="1"/>
  <c r="P33" i="1"/>
  <c r="P15" i="1"/>
  <c r="P16" i="1"/>
  <c r="P17" i="1"/>
  <c r="P18" i="1"/>
  <c r="P19" i="1"/>
  <c r="P20" i="1"/>
  <c r="P21" i="1"/>
  <c r="P22" i="1"/>
  <c r="P23" i="1"/>
  <c r="P3" i="1"/>
  <c r="P4" i="1"/>
  <c r="P5" i="1"/>
  <c r="P6" i="1"/>
  <c r="P7" i="1"/>
  <c r="P8" i="1"/>
  <c r="P9" i="1"/>
  <c r="P10" i="1"/>
  <c r="P11" i="1"/>
  <c r="P12" i="1"/>
  <c r="P13" i="1"/>
  <c r="P14" i="1"/>
  <c r="P2" i="1"/>
  <c r="E32" i="3"/>
  <c r="F32" i="3"/>
  <c r="G32" i="3"/>
  <c r="H32" i="3"/>
  <c r="I32" i="3"/>
  <c r="J32" i="3"/>
  <c r="K32" i="3"/>
  <c r="L32" i="3"/>
  <c r="M32" i="3"/>
  <c r="N32" i="3"/>
  <c r="O32" i="3"/>
  <c r="E33" i="3"/>
  <c r="F33" i="3"/>
  <c r="G33" i="3"/>
  <c r="H33" i="3"/>
  <c r="I33" i="3"/>
  <c r="J33" i="3"/>
  <c r="K33" i="3"/>
  <c r="L33" i="3"/>
  <c r="M33" i="3"/>
  <c r="N33" i="3"/>
  <c r="O33" i="3"/>
  <c r="E34" i="3"/>
  <c r="F34" i="3"/>
  <c r="G34" i="3"/>
  <c r="H34" i="3"/>
  <c r="I34" i="3"/>
  <c r="J34" i="3"/>
  <c r="K34" i="3"/>
  <c r="L34" i="3"/>
  <c r="M34" i="3"/>
  <c r="N34" i="3"/>
  <c r="O34" i="3"/>
  <c r="E35" i="3"/>
  <c r="F35" i="3"/>
  <c r="G35" i="3"/>
  <c r="H35" i="3"/>
  <c r="I35" i="3"/>
  <c r="J35" i="3"/>
  <c r="K35" i="3"/>
  <c r="L35" i="3"/>
  <c r="M35" i="3"/>
  <c r="N35" i="3"/>
  <c r="O35" i="3"/>
  <c r="E36" i="3"/>
  <c r="F36" i="3"/>
  <c r="G36" i="3"/>
  <c r="H36" i="3"/>
  <c r="I36" i="3"/>
  <c r="J36" i="3"/>
  <c r="K36" i="3"/>
  <c r="L36" i="3"/>
  <c r="M36" i="3"/>
  <c r="N36" i="3"/>
  <c r="O36" i="3"/>
  <c r="E37" i="3"/>
  <c r="F37" i="3"/>
  <c r="G37" i="3"/>
  <c r="H37" i="3"/>
  <c r="I37" i="3"/>
  <c r="J37" i="3"/>
  <c r="K37" i="3"/>
  <c r="L37" i="3"/>
  <c r="M37" i="3"/>
  <c r="N37" i="3"/>
  <c r="O37" i="3"/>
  <c r="E38" i="3"/>
  <c r="F38" i="3"/>
  <c r="G38" i="3"/>
  <c r="H38" i="3"/>
  <c r="I38" i="3"/>
  <c r="J38" i="3"/>
  <c r="K38" i="3"/>
  <c r="L38" i="3"/>
  <c r="M38" i="3"/>
  <c r="N38" i="3"/>
  <c r="O38" i="3"/>
  <c r="E39" i="3"/>
  <c r="F39" i="3"/>
  <c r="G39" i="3"/>
  <c r="H39" i="3"/>
  <c r="I39" i="3"/>
  <c r="J39" i="3"/>
  <c r="K39" i="3"/>
  <c r="L39" i="3"/>
  <c r="M39" i="3"/>
  <c r="N39" i="3"/>
  <c r="O39" i="3"/>
  <c r="K77" i="1"/>
  <c r="K76" i="1"/>
  <c r="K75" i="1"/>
  <c r="K74" i="1"/>
  <c r="K73" i="1"/>
  <c r="K72" i="1"/>
  <c r="K71" i="1"/>
  <c r="K70" i="1"/>
  <c r="K81" i="1"/>
  <c r="K80" i="1"/>
  <c r="K79" i="1"/>
  <c r="K78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37" i="1"/>
  <c r="K39" i="1"/>
  <c r="K40" i="1"/>
  <c r="K41" i="1"/>
  <c r="K34" i="1"/>
  <c r="K35" i="1"/>
  <c r="K36" i="1"/>
  <c r="K3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2" i="1"/>
  <c r="K23" i="1"/>
  <c r="K24" i="1"/>
  <c r="K25" i="1"/>
  <c r="K18" i="1"/>
  <c r="K19" i="1"/>
  <c r="K20" i="1"/>
  <c r="K21" i="1"/>
  <c r="K30" i="1"/>
  <c r="K31" i="1"/>
  <c r="K32" i="1"/>
  <c r="K33" i="1"/>
  <c r="K26" i="1"/>
  <c r="K27" i="1"/>
  <c r="K28" i="1"/>
  <c r="K29" i="1"/>
  <c r="K2" i="1"/>
  <c r="J39" i="1"/>
  <c r="J40" i="1"/>
  <c r="J41" i="1"/>
  <c r="J34" i="1"/>
  <c r="J35" i="1"/>
  <c r="J36" i="1"/>
  <c r="J37" i="1"/>
  <c r="J38" i="1"/>
  <c r="J31" i="1"/>
  <c r="J32" i="1"/>
  <c r="J33" i="1"/>
  <c r="J26" i="1"/>
  <c r="J27" i="1"/>
  <c r="J28" i="1"/>
  <c r="J2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2" i="1"/>
  <c r="J23" i="1"/>
  <c r="J24" i="1"/>
  <c r="J25" i="1"/>
  <c r="J18" i="1"/>
  <c r="J19" i="1"/>
  <c r="J20" i="1"/>
  <c r="J21" i="1"/>
  <c r="J30" i="1"/>
  <c r="J2" i="1"/>
  <c r="I77" i="1"/>
  <c r="G77" i="1"/>
  <c r="F77" i="1"/>
  <c r="I76" i="1"/>
  <c r="G76" i="1"/>
  <c r="F76" i="1"/>
  <c r="I75" i="1"/>
  <c r="G75" i="1"/>
  <c r="F75" i="1"/>
  <c r="I74" i="1"/>
  <c r="G74" i="1"/>
  <c r="F74" i="1"/>
  <c r="I73" i="1"/>
  <c r="G73" i="1"/>
  <c r="F73" i="1"/>
  <c r="I72" i="1"/>
  <c r="G72" i="1"/>
  <c r="F72" i="1"/>
  <c r="I71" i="1"/>
  <c r="G71" i="1"/>
  <c r="F71" i="1"/>
  <c r="I70" i="1"/>
  <c r="G70" i="1"/>
  <c r="F70" i="1"/>
  <c r="I39" i="1"/>
  <c r="I40" i="1"/>
  <c r="I41" i="1"/>
  <c r="I34" i="1"/>
  <c r="I35" i="1"/>
  <c r="I36" i="1"/>
  <c r="I37" i="1"/>
  <c r="I38" i="1"/>
  <c r="G39" i="1"/>
  <c r="G40" i="1"/>
  <c r="G41" i="1"/>
  <c r="G34" i="1"/>
  <c r="G35" i="1"/>
  <c r="G36" i="1"/>
  <c r="G37" i="1"/>
  <c r="G38" i="1"/>
  <c r="F38" i="1"/>
  <c r="F39" i="1"/>
  <c r="F40" i="1"/>
  <c r="F41" i="1"/>
  <c r="F34" i="1"/>
  <c r="F35" i="1"/>
  <c r="F36" i="1"/>
  <c r="F37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8" i="1"/>
  <c r="I79" i="1"/>
  <c r="I80" i="1"/>
  <c r="I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2" i="1"/>
  <c r="I23" i="1"/>
  <c r="I24" i="1"/>
  <c r="I25" i="1"/>
  <c r="I18" i="1"/>
  <c r="I19" i="1"/>
  <c r="I20" i="1"/>
  <c r="I21" i="1"/>
  <c r="I30" i="1"/>
  <c r="I31" i="1"/>
  <c r="I32" i="1"/>
  <c r="I33" i="1"/>
  <c r="I26" i="1"/>
  <c r="I27" i="1"/>
  <c r="I28" i="1"/>
  <c r="I29" i="1"/>
  <c r="I42" i="1"/>
  <c r="I43" i="1"/>
  <c r="I44" i="1"/>
  <c r="I45" i="1"/>
  <c r="I46" i="1"/>
  <c r="I47" i="1"/>
  <c r="I48" i="1"/>
  <c r="I49" i="1"/>
  <c r="I2" i="1"/>
  <c r="G81" i="1"/>
  <c r="F81" i="1"/>
  <c r="G80" i="1"/>
  <c r="F80" i="1"/>
  <c r="G79" i="1"/>
  <c r="F79" i="1"/>
  <c r="G78" i="1"/>
  <c r="F78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2" i="1"/>
  <c r="G23" i="1"/>
  <c r="G24" i="1"/>
  <c r="G25" i="1"/>
  <c r="G18" i="1"/>
  <c r="G19" i="1"/>
  <c r="G20" i="1"/>
  <c r="G21" i="1"/>
  <c r="G30" i="1"/>
  <c r="G31" i="1"/>
  <c r="G32" i="1"/>
  <c r="G33" i="1"/>
  <c r="G26" i="1"/>
  <c r="G27" i="1"/>
  <c r="G28" i="1"/>
  <c r="G2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2" i="1"/>
  <c r="F23" i="1"/>
  <c r="F24" i="1"/>
  <c r="F25" i="1"/>
  <c r="F18" i="1"/>
  <c r="F19" i="1"/>
  <c r="F20" i="1"/>
  <c r="F21" i="1"/>
  <c r="F30" i="1"/>
  <c r="F31" i="1"/>
  <c r="F32" i="1"/>
  <c r="F33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<sst xmlns="http://schemas.openxmlformats.org/spreadsheetml/2006/main" count="1472" uniqueCount="233">
  <si>
    <t>Day</t>
  </si>
  <si>
    <t>Gate</t>
  </si>
  <si>
    <t>Collection Tube Label</t>
  </si>
  <si>
    <t>FACS Label</t>
  </si>
  <si>
    <t>Date</t>
  </si>
  <si>
    <t>No Decimals</t>
  </si>
  <si>
    <t>Alternative FACS Label</t>
  </si>
  <si>
    <t>16e-1</t>
  </si>
  <si>
    <t>5e-1</t>
  </si>
  <si>
    <t>16e-2</t>
  </si>
  <si>
    <t>5e-2</t>
  </si>
  <si>
    <t>16e-3</t>
  </si>
  <si>
    <t>5e-3</t>
  </si>
  <si>
    <t>negative</t>
  </si>
  <si>
    <t>Hatag</t>
  </si>
  <si>
    <t>MiniHA-PE Concentration (nM)</t>
  </si>
  <si>
    <t>The same exact label but with a different date.</t>
  </si>
  <si>
    <t>Actual Label, source tube FACS file(s)</t>
  </si>
  <si>
    <t>un</t>
  </si>
  <si>
    <t>Yeast Miniprep and PCR Label: 2023.03.08 and 2023.03.09</t>
  </si>
  <si>
    <t>Actual Label, Frozen Stock</t>
  </si>
  <si>
    <t>N/A</t>
  </si>
  <si>
    <t>Quantification of Yeast Miniprep (select samples only) (ng/uL)</t>
  </si>
  <si>
    <t>A</t>
  </si>
  <si>
    <t>B</t>
  </si>
  <si>
    <t>C</t>
  </si>
  <si>
    <t>D</t>
  </si>
  <si>
    <t>E</t>
  </si>
  <si>
    <t>F</t>
  </si>
  <si>
    <t>G</t>
  </si>
  <si>
    <t>H</t>
  </si>
  <si>
    <t>TrueSef_F_1</t>
  </si>
  <si>
    <t>TrueSef_F_2</t>
  </si>
  <si>
    <t>TrueSef_F_3</t>
  </si>
  <si>
    <t>TrueSef_F_4</t>
  </si>
  <si>
    <t>TrueSef_F_5</t>
  </si>
  <si>
    <t>TrueSef_F_6</t>
  </si>
  <si>
    <t>TrueSef_F_7</t>
  </si>
  <si>
    <t>TrueSef_F_8</t>
  </si>
  <si>
    <t>Primer Condition, F</t>
  </si>
  <si>
    <t>TrueSeq_R_A701</t>
  </si>
  <si>
    <t>TrueSeq_R_A702</t>
  </si>
  <si>
    <t>TrueSeq_R_A703</t>
  </si>
  <si>
    <t>TrueSeq_R_A704</t>
  </si>
  <si>
    <t>TrueSeq_R_A705</t>
  </si>
  <si>
    <t>TrueSeq_R_A706</t>
  </si>
  <si>
    <t>TrueSeq_R_A707</t>
  </si>
  <si>
    <t>TrueSeq_R_A708</t>
  </si>
  <si>
    <t>TrueSeq_R_A709</t>
  </si>
  <si>
    <t>TrueSeq_R_A710</t>
  </si>
  <si>
    <t>TrueSeq_R_A711</t>
  </si>
  <si>
    <t>Primer Condition, Reverse</t>
  </si>
  <si>
    <t>None</t>
  </si>
  <si>
    <t>Sample ID</t>
  </si>
  <si>
    <t>Primer Condition, R</t>
  </si>
  <si>
    <t>Row/Col</t>
  </si>
  <si>
    <t>Recovery PCR Label (Primestar) 2023.03.09, 2023.03.10</t>
  </si>
  <si>
    <t>Gel Top Row</t>
  </si>
  <si>
    <t>Well</t>
  </si>
  <si>
    <t>M</t>
  </si>
  <si>
    <t>Gel 2nd Row</t>
  </si>
  <si>
    <t>Gel 3rd Row</t>
  </si>
  <si>
    <t>Gel 4th Row</t>
  </si>
  <si>
    <t>Final Gel</t>
  </si>
  <si>
    <t>Small Gel</t>
  </si>
  <si>
    <t>Spl</t>
  </si>
  <si>
    <t>FACS Counts</t>
  </si>
  <si>
    <t xml:space="preserve">d : 874262 </t>
  </si>
  <si>
    <t>Sample 81 is 'input' from frozen mutlib pre-sort</t>
  </si>
  <si>
    <t>Indexing PCR Plate Map: Primers</t>
  </si>
  <si>
    <t>Indexing PCR Plate Map: Samples</t>
  </si>
  <si>
    <t>Both Primers Listed</t>
  </si>
  <si>
    <t>Quantification of Recovery PCR 2023.03.13-14 (ng/uL); 2023.03.16 (select samples)</t>
  </si>
  <si>
    <t>How much volume needs 1uL to be 20ng/uL</t>
  </si>
  <si>
    <t>input</t>
  </si>
  <si>
    <t>Well Lane ID</t>
  </si>
  <si>
    <t xml:space="preserve">Index PCR Spl Col1 </t>
  </si>
  <si>
    <t>Index PCR Spl Col2</t>
  </si>
  <si>
    <t>Gel#2 Map Top Row</t>
  </si>
  <si>
    <t>Index PCR Spl Col3</t>
  </si>
  <si>
    <t>Index PCR Spl Col4</t>
  </si>
  <si>
    <t xml:space="preserve">Index PCR Spl Col5 </t>
  </si>
  <si>
    <t>Index PCR Spl Col6</t>
  </si>
  <si>
    <t>Index PCR Spl Col7</t>
  </si>
  <si>
    <t>Index PCR Spl Col8</t>
  </si>
  <si>
    <t>Index PCR Spl Col9</t>
  </si>
  <si>
    <t>Index PCR Spl Col10</t>
  </si>
  <si>
    <t>81 (input)</t>
  </si>
  <si>
    <t>Index PCR Spl Col11</t>
  </si>
  <si>
    <t>Gel#1</t>
  </si>
  <si>
    <t>Gel#2 Map 2nd Row</t>
  </si>
  <si>
    <t>Gel#2 Map 3rd Row</t>
  </si>
  <si>
    <t>Gel#2 Map 4th Row</t>
  </si>
  <si>
    <t>Gel#3 Map Top Row</t>
  </si>
  <si>
    <t>Gel#3 Map 2nd Row</t>
  </si>
  <si>
    <t xml:space="preserve">Index PCR Spl # </t>
  </si>
  <si>
    <t>Gel#6 Map  2023.03.19</t>
  </si>
  <si>
    <t>Gel#7 Map  2023.03.19</t>
  </si>
  <si>
    <t>Gel#8 Map  2023.03.19</t>
  </si>
  <si>
    <t>Gel#9 Map  2023.03.19</t>
  </si>
  <si>
    <t>Gel Map  2023.03.20</t>
  </si>
  <si>
    <t>Quantification of Barcoding PCR 3/21/2023</t>
  </si>
  <si>
    <t>Quantification of Barcoding PCR 3/21/2023, alternative/additional isolation</t>
  </si>
  <si>
    <t>Total ng available</t>
  </si>
  <si>
    <t>Volume for 100ng</t>
  </si>
  <si>
    <t>Label on Tube</t>
  </si>
  <si>
    <t>KD</t>
  </si>
  <si>
    <t>TGAACCTT</t>
  </si>
  <si>
    <t>TGCTAAGT</t>
  </si>
  <si>
    <t>TGTTCTCT</t>
  </si>
  <si>
    <t>TAAGACAC</t>
  </si>
  <si>
    <t>CTAATCGA</t>
  </si>
  <si>
    <t>CTAGAACA</t>
  </si>
  <si>
    <t>TAAGTTCC</t>
  </si>
  <si>
    <t>TAGACCTA</t>
  </si>
  <si>
    <t>I7 index (please specify TruSeq, bioo, Nextera or other)</t>
  </si>
  <si>
    <t>I5 index</t>
  </si>
  <si>
    <t>Index sequesnces</t>
  </si>
  <si>
    <t>Reverse primer name</t>
  </si>
  <si>
    <t>i7 Index</t>
  </si>
  <si>
    <t>Truseq-R-A701</t>
  </si>
  <si>
    <t>GTCGTGAT</t>
  </si>
  <si>
    <t>Truseq-R-A702</t>
  </si>
  <si>
    <t>ACCACTGT</t>
  </si>
  <si>
    <t>Truseq-R-A703</t>
  </si>
  <si>
    <t>TGGATCTG</t>
  </si>
  <si>
    <t>Truseq-R-A704</t>
  </si>
  <si>
    <t>CCGTTTGT</t>
  </si>
  <si>
    <t>Truseq-R-A705</t>
  </si>
  <si>
    <t>TGCTGGGT</t>
  </si>
  <si>
    <t>Truseq-R-A706</t>
  </si>
  <si>
    <t>GAGGGGTT</t>
  </si>
  <si>
    <t>Truseq-R-A707</t>
  </si>
  <si>
    <t>AGGTTGGG</t>
  </si>
  <si>
    <t>Truseq-R-A708</t>
  </si>
  <si>
    <t>GTGTGGTG</t>
  </si>
  <si>
    <t>Truseq-R-A709</t>
  </si>
  <si>
    <t>TGGGTTTC</t>
  </si>
  <si>
    <t>Truseq-R-A710</t>
  </si>
  <si>
    <t>TGGTCACA</t>
  </si>
  <si>
    <t>Truseq-R-A711</t>
  </si>
  <si>
    <t>TTGACCCT</t>
  </si>
  <si>
    <t>Truseq-R-A712</t>
  </si>
  <si>
    <t>CCACTCCT</t>
  </si>
  <si>
    <t>Index sequesnces F</t>
  </si>
  <si>
    <t>Index sequesnces R</t>
  </si>
  <si>
    <t>Signal Level</t>
  </si>
  <si>
    <t>Low</t>
  </si>
  <si>
    <t>Medium</t>
  </si>
  <si>
    <t>High</t>
  </si>
  <si>
    <t>Sequencing Label</t>
  </si>
  <si>
    <t>FACS Signal Level</t>
  </si>
  <si>
    <t>20230301_16nM_Gateun</t>
  </si>
  <si>
    <t>20230301_16nM_Gate1</t>
  </si>
  <si>
    <t>20230301_16nM_Gate2</t>
  </si>
  <si>
    <t>20230301_16nM_Gate3</t>
  </si>
  <si>
    <t>20230301_5nM_Gateun</t>
  </si>
  <si>
    <t>20230301_5nM_Gate1</t>
  </si>
  <si>
    <t>20230301_5nM_Gate2</t>
  </si>
  <si>
    <t>20230301_5nM_Gate3</t>
  </si>
  <si>
    <t>20230301_1.6nM_Gateun</t>
  </si>
  <si>
    <t>20230301_1.6nM_Gate1</t>
  </si>
  <si>
    <t>20230301_1.6nM_Gate2</t>
  </si>
  <si>
    <t>20230301_1.6nM_Gate3</t>
  </si>
  <si>
    <t>20230301_0.5nM_Gateun</t>
  </si>
  <si>
    <t>20230301_0.5nM_Gate1</t>
  </si>
  <si>
    <t>20230301_0.5nM_Gate2</t>
  </si>
  <si>
    <t>20230301_0.5nM_Gate3</t>
  </si>
  <si>
    <t>20230301_0.05nM_Gateun</t>
  </si>
  <si>
    <t>20230301_0.05nM_Gate1</t>
  </si>
  <si>
    <t>20230301_0.05nM_Gate2</t>
  </si>
  <si>
    <t>20230301_0.05nM_Gate3</t>
  </si>
  <si>
    <t>20230301_0.16nM_Gateun</t>
  </si>
  <si>
    <t>20230301_0.16nM_Gate1</t>
  </si>
  <si>
    <t>20230301_0.16nM_Gate2</t>
  </si>
  <si>
    <t>20230301_0.16nM_Gate3</t>
  </si>
  <si>
    <t>20230301_0.005nM_Gateun</t>
  </si>
  <si>
    <t>20230301_0.005nM_Gate1</t>
  </si>
  <si>
    <t>20230301_0.005nM_Gate2</t>
  </si>
  <si>
    <t>20230301_0.005nM_Gate3</t>
  </si>
  <si>
    <t>20230301_0.016nM_Gateun</t>
  </si>
  <si>
    <t>20230301_0.016nM_Gate1</t>
  </si>
  <si>
    <t>20230301_0.016nM_Gate2</t>
  </si>
  <si>
    <t>20230301_0.016nM_Gate3</t>
  </si>
  <si>
    <t>20230301_Hatag_Gateun</t>
  </si>
  <si>
    <t>20230301_Hatag_Gate1</t>
  </si>
  <si>
    <t>20230301_Hatag_Gate2</t>
  </si>
  <si>
    <t>20230301_Hatag_Gate3</t>
  </si>
  <si>
    <t>20230301_negative_Gateun</t>
  </si>
  <si>
    <t>20230301_negative_Gate1</t>
  </si>
  <si>
    <t>20230301_negative_Gate2</t>
  </si>
  <si>
    <t>20230301_negative_Gate3</t>
  </si>
  <si>
    <t>20230302_16nM_Gateun</t>
  </si>
  <si>
    <t>20230302_16nM_Gate1</t>
  </si>
  <si>
    <t>20230302_16nM_Gate2</t>
  </si>
  <si>
    <t>20230302_16nM_Gate3</t>
  </si>
  <si>
    <t>20230302_5nM_Gateun</t>
  </si>
  <si>
    <t>20230302_5nM_Gate1</t>
  </si>
  <si>
    <t>20230302_5nM_Gate2</t>
  </si>
  <si>
    <t>20230302_5nM_Gate3</t>
  </si>
  <si>
    <t>20230302_1.6nM_Gateun</t>
  </si>
  <si>
    <t>20230302_1.6nM_Gate1</t>
  </si>
  <si>
    <t>20230302_1.6nM_Gate2</t>
  </si>
  <si>
    <t>20230302_1.6nM_Gate3</t>
  </si>
  <si>
    <t>20230302_0.5nM_Gateun</t>
  </si>
  <si>
    <t>20230302_0.5nM_Gate1</t>
  </si>
  <si>
    <t>20230302_0.5nM_Gate2</t>
  </si>
  <si>
    <t>20230302_0.5nM_Gate3</t>
  </si>
  <si>
    <t>20230302_0.16nM_Gateun</t>
  </si>
  <si>
    <t>20230302_0.16nM_Gate1</t>
  </si>
  <si>
    <t>20230302_0.16nM_Gate2</t>
  </si>
  <si>
    <t>20230302_0.16nM_Gate3</t>
  </si>
  <si>
    <t>20230302_0.05nM_Gateun</t>
  </si>
  <si>
    <t>20230302_0.05nM_Gate1</t>
  </si>
  <si>
    <t>20230302_0.05nM_Gate2</t>
  </si>
  <si>
    <t>20230302_0.05nM_Gate3</t>
  </si>
  <si>
    <t>20230302_0.016nM_Gateun</t>
  </si>
  <si>
    <t>20230302_0.016nM_Gate1</t>
  </si>
  <si>
    <t>20230302_0.016nM_Gate2</t>
  </si>
  <si>
    <t>20230302_0.016nM_Gate3</t>
  </si>
  <si>
    <t>20230302_negative_Gateun</t>
  </si>
  <si>
    <t>20230302_negative_Gate1</t>
  </si>
  <si>
    <t>20230302_negative_Gate2</t>
  </si>
  <si>
    <t>20230302_negative_Gate3</t>
  </si>
  <si>
    <t>20230302_Hatag_Gateun</t>
  </si>
  <si>
    <t>20230302_Hatag_Gate1</t>
  </si>
  <si>
    <t>20230302_Hatag_Gate2</t>
  </si>
  <si>
    <t>20230302_Hatag_Gate3</t>
  </si>
  <si>
    <t>20230302_0.005nM_Gateun</t>
  </si>
  <si>
    <t>20230302_0.005nM_Gate1</t>
  </si>
  <si>
    <t>20230302_0.005nM_Gate2</t>
  </si>
  <si>
    <t>20230302_0.005nM_Gate3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</si>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</sst>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IDFont+F1"/>
    </font>
    <font>
      <sz val="8"/>
      <color theme="1"/>
      <name val="CIDFont+F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right"/>
    </xf>
    <xf numFmtId="0" fontId="0" fillId="4" borderId="1" xfId="0" applyFill="1" applyBorder="1"/>
    <xf numFmtId="0" fontId="0" fillId="3" borderId="1" xfId="0" applyFill="1" applyBorder="1"/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0" xfId="0" applyNumberFormat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2" fillId="6" borderId="1" xfId="0" applyFont="1" applyFill="1" applyBorder="1" applyAlignment="1">
      <alignment horizontal="left"/>
    </xf>
    <xf numFmtId="164" fontId="2" fillId="6" borderId="0" xfId="0" applyNumberFormat="1" applyFont="1" applyFill="1"/>
    <xf numFmtId="0" fontId="6" fillId="0" borderId="0" xfId="0" applyFont="1"/>
    <xf numFmtId="0" fontId="7" fillId="0" borderId="0" xfId="0" applyFont="1"/>
    <xf numFmtId="0" fontId="0" fillId="5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5" xfId="0" applyFill="1" applyBorder="1"/>
    <xf numFmtId="0" fontId="0" fillId="5" borderId="6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9" xfId="0" applyFill="1" applyBorder="1"/>
    <xf numFmtId="0" fontId="0" fillId="5" borderId="1" xfId="0" applyFill="1" applyBorder="1"/>
    <xf numFmtId="0" fontId="8" fillId="7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/>
    <xf numFmtId="1" fontId="0" fillId="0" borderId="0" xfId="0" applyNumberFormat="1"/>
    <xf numFmtId="0" fontId="11" fillId="0" borderId="0" xfId="0" applyFont="1"/>
    <xf numFmtId="0" fontId="5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1" fillId="0" borderId="1" xfId="0" applyFont="1" applyBorder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1235610</xdr:colOff>
      <xdr:row>0</xdr:row>
      <xdr:rowOff>1564848</xdr:rowOff>
    </xdr:from>
    <xdr:to>
      <xdr:col>29</xdr:col>
      <xdr:colOff>461167</xdr:colOff>
      <xdr:row>24</xdr:row>
      <xdr:rowOff>96588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9B181-AAFE-D6E0-96B8-0FB3B6716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7868" y="1564848"/>
          <a:ext cx="2871686" cy="51070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48D0-0FCD-4C49-888A-39DF527F2F97}">
  <dimension ref="A1:D82"/>
  <sheetViews>
    <sheetView tabSelected="1" topLeftCell="A80" workbookViewId="0">
      <selection activeCell="D85" sqref="D85"/>
    </sheetView>
  </sheetViews>
  <sheetFormatPr baseColWidth="10" defaultRowHeight="15"/>
  <cols>
    <col min="1" max="1" width="14.1640625" bestFit="1" customWidth="1"/>
    <col min="2" max="2" width="11.5" bestFit="1" customWidth="1"/>
    <col min="3" max="3" width="8.83203125"/>
    <col min="4" max="4" width="23.6640625" bestFit="1" customWidth="1"/>
  </cols>
  <sheetData>
    <row r="1" spans="1:4" ht="48">
      <c r="A1" s="9" t="s">
        <v>150</v>
      </c>
      <c r="B1" s="13" t="s">
        <v>66</v>
      </c>
      <c r="C1" s="8" t="s">
        <v>151</v>
      </c>
      <c r="D1" s="8" t="s">
        <v>3</v>
      </c>
    </row>
    <row r="2" spans="1:4">
      <c r="A2" s="7">
        <v>1</v>
      </c>
      <c r="B2">
        <v>1146617</v>
      </c>
      <c r="C2" s="1" t="s">
        <v>52</v>
      </c>
      <c r="D2" s="1" t="s">
        <v>152</v>
      </c>
    </row>
    <row r="3" spans="1:4">
      <c r="A3" s="7">
        <v>2</v>
      </c>
      <c r="B3" s="28">
        <v>151952</v>
      </c>
      <c r="C3" s="1" t="s">
        <v>147</v>
      </c>
      <c r="D3" s="1" t="s">
        <v>153</v>
      </c>
    </row>
    <row r="4" spans="1:4">
      <c r="A4" s="7">
        <v>3</v>
      </c>
      <c r="B4" s="28">
        <v>217266</v>
      </c>
      <c r="C4" s="1" t="s">
        <v>148</v>
      </c>
      <c r="D4" s="1" t="s">
        <v>154</v>
      </c>
    </row>
    <row r="5" spans="1:4">
      <c r="A5" s="7">
        <v>4</v>
      </c>
      <c r="B5" s="28">
        <v>226754</v>
      </c>
      <c r="C5" s="1" t="s">
        <v>149</v>
      </c>
      <c r="D5" s="1" t="s">
        <v>155</v>
      </c>
    </row>
    <row r="6" spans="1:4">
      <c r="A6" s="7">
        <v>5</v>
      </c>
      <c r="B6">
        <v>1039830</v>
      </c>
      <c r="C6" s="1" t="s">
        <v>52</v>
      </c>
      <c r="D6" s="1" t="s">
        <v>156</v>
      </c>
    </row>
    <row r="7" spans="1:4">
      <c r="A7" s="7">
        <v>6</v>
      </c>
      <c r="B7" s="28">
        <v>136118</v>
      </c>
      <c r="C7" s="1" t="s">
        <v>147</v>
      </c>
      <c r="D7" s="1" t="s">
        <v>157</v>
      </c>
    </row>
    <row r="8" spans="1:4">
      <c r="A8" s="7">
        <v>7</v>
      </c>
      <c r="B8" s="28">
        <v>195469</v>
      </c>
      <c r="C8" s="1" t="s">
        <v>148</v>
      </c>
      <c r="D8" s="1" t="s">
        <v>158</v>
      </c>
    </row>
    <row r="9" spans="1:4">
      <c r="A9" s="7">
        <v>8</v>
      </c>
      <c r="B9" s="28">
        <v>167777</v>
      </c>
      <c r="C9" s="1" t="s">
        <v>149</v>
      </c>
      <c r="D9" s="1" t="s">
        <v>159</v>
      </c>
    </row>
    <row r="10" spans="1:4">
      <c r="A10" s="7">
        <v>9</v>
      </c>
      <c r="B10">
        <v>1004564</v>
      </c>
      <c r="C10" s="1" t="s">
        <v>52</v>
      </c>
      <c r="D10" s="1" t="s">
        <v>160</v>
      </c>
    </row>
    <row r="11" spans="1:4">
      <c r="A11" s="7">
        <v>10</v>
      </c>
      <c r="B11" s="28">
        <v>137955</v>
      </c>
      <c r="C11" s="1" t="s">
        <v>147</v>
      </c>
      <c r="D11" s="1" t="s">
        <v>161</v>
      </c>
    </row>
    <row r="12" spans="1:4">
      <c r="A12" s="7">
        <v>11</v>
      </c>
      <c r="B12" s="28">
        <v>181812</v>
      </c>
      <c r="C12" s="1" t="s">
        <v>148</v>
      </c>
      <c r="D12" s="1" t="s">
        <v>162</v>
      </c>
    </row>
    <row r="13" spans="1:4">
      <c r="A13" s="7">
        <v>12</v>
      </c>
      <c r="B13" s="28">
        <v>91530</v>
      </c>
      <c r="C13" s="1" t="s">
        <v>149</v>
      </c>
      <c r="D13" s="1" t="s">
        <v>163</v>
      </c>
    </row>
    <row r="14" spans="1:4">
      <c r="A14" s="7">
        <v>13</v>
      </c>
      <c r="B14">
        <v>1048789</v>
      </c>
      <c r="C14" s="1" t="s">
        <v>52</v>
      </c>
      <c r="D14" s="1" t="s">
        <v>164</v>
      </c>
    </row>
    <row r="15" spans="1:4">
      <c r="A15" s="7">
        <v>14</v>
      </c>
      <c r="B15" s="28">
        <v>142926</v>
      </c>
      <c r="C15" s="1" t="s">
        <v>147</v>
      </c>
      <c r="D15" s="1" t="s">
        <v>165</v>
      </c>
    </row>
    <row r="16" spans="1:4">
      <c r="A16" s="7">
        <v>15</v>
      </c>
      <c r="B16" s="28">
        <v>136700</v>
      </c>
      <c r="C16" s="1" t="s">
        <v>148</v>
      </c>
      <c r="D16" s="1" t="s">
        <v>166</v>
      </c>
    </row>
    <row r="17" spans="1:4">
      <c r="A17" s="7">
        <v>16</v>
      </c>
      <c r="B17" s="28">
        <v>25634</v>
      </c>
      <c r="C17" s="1" t="s">
        <v>149</v>
      </c>
      <c r="D17" s="1" t="s">
        <v>167</v>
      </c>
    </row>
    <row r="18" spans="1:4">
      <c r="A18" s="7">
        <v>17</v>
      </c>
      <c r="B18">
        <v>1298470</v>
      </c>
      <c r="C18" s="1" t="s">
        <v>52</v>
      </c>
      <c r="D18" s="1" t="s">
        <v>168</v>
      </c>
    </row>
    <row r="19" spans="1:4">
      <c r="A19" s="7">
        <v>18</v>
      </c>
      <c r="B19" s="28">
        <v>104598</v>
      </c>
      <c r="C19" s="1" t="s">
        <v>147</v>
      </c>
      <c r="D19" s="1" t="s">
        <v>169</v>
      </c>
    </row>
    <row r="20" spans="1:4">
      <c r="A20" s="7">
        <v>19</v>
      </c>
      <c r="B20" s="28">
        <v>4102</v>
      </c>
      <c r="C20" s="1" t="s">
        <v>148</v>
      </c>
      <c r="D20" s="1" t="s">
        <v>170</v>
      </c>
    </row>
    <row r="21" spans="1:4">
      <c r="A21" s="7">
        <v>20</v>
      </c>
      <c r="B21" s="28">
        <v>25</v>
      </c>
      <c r="C21" s="1" t="s">
        <v>149</v>
      </c>
      <c r="D21" s="1" t="s">
        <v>171</v>
      </c>
    </row>
    <row r="22" spans="1:4">
      <c r="A22" s="7">
        <v>21</v>
      </c>
      <c r="B22">
        <v>1333490</v>
      </c>
      <c r="C22" s="1" t="s">
        <v>52</v>
      </c>
      <c r="D22" s="1" t="s">
        <v>172</v>
      </c>
    </row>
    <row r="23" spans="1:4">
      <c r="A23" s="7">
        <v>22</v>
      </c>
      <c r="B23" s="28">
        <v>165446</v>
      </c>
      <c r="C23" s="1" t="s">
        <v>147</v>
      </c>
      <c r="D23" s="1" t="s">
        <v>173</v>
      </c>
    </row>
    <row r="24" spans="1:4">
      <c r="A24" s="7">
        <v>23</v>
      </c>
      <c r="B24" s="28">
        <v>64772</v>
      </c>
      <c r="C24" s="1" t="s">
        <v>148</v>
      </c>
      <c r="D24" s="1" t="s">
        <v>174</v>
      </c>
    </row>
    <row r="25" spans="1:4">
      <c r="A25" s="7">
        <v>24</v>
      </c>
      <c r="B25" s="28">
        <v>632</v>
      </c>
      <c r="C25" s="1" t="s">
        <v>149</v>
      </c>
      <c r="D25" s="1" t="s">
        <v>175</v>
      </c>
    </row>
    <row r="26" spans="1:4">
      <c r="A26" s="7">
        <v>25</v>
      </c>
      <c r="B26">
        <v>1480487</v>
      </c>
      <c r="C26" s="1" t="s">
        <v>52</v>
      </c>
      <c r="D26" s="1" t="s">
        <v>176</v>
      </c>
    </row>
    <row r="27" spans="1:4">
      <c r="A27" s="26">
        <v>26</v>
      </c>
      <c r="B27" s="28">
        <v>5651</v>
      </c>
      <c r="C27" s="1" t="s">
        <v>147</v>
      </c>
      <c r="D27" s="1" t="s">
        <v>177</v>
      </c>
    </row>
    <row r="28" spans="1:4">
      <c r="A28" s="26">
        <v>27</v>
      </c>
      <c r="B28">
        <v>21</v>
      </c>
      <c r="C28" s="1" t="s">
        <v>148</v>
      </c>
      <c r="D28" s="1" t="s">
        <v>178</v>
      </c>
    </row>
    <row r="29" spans="1:4">
      <c r="A29" s="7">
        <v>28</v>
      </c>
      <c r="B29" s="12">
        <v>7</v>
      </c>
      <c r="C29" s="1" t="s">
        <v>149</v>
      </c>
      <c r="D29" s="1" t="s">
        <v>179</v>
      </c>
    </row>
    <row r="30" spans="1:4">
      <c r="A30" s="7">
        <v>29</v>
      </c>
      <c r="B30" s="12">
        <v>1871331</v>
      </c>
      <c r="C30" s="1" t="s">
        <v>52</v>
      </c>
      <c r="D30" s="1" t="s">
        <v>180</v>
      </c>
    </row>
    <row r="31" spans="1:4">
      <c r="A31" s="7">
        <v>30</v>
      </c>
      <c r="B31" s="12">
        <v>36971</v>
      </c>
      <c r="C31" s="1" t="s">
        <v>147</v>
      </c>
      <c r="D31" s="1" t="s">
        <v>181</v>
      </c>
    </row>
    <row r="32" spans="1:4">
      <c r="A32" s="7">
        <v>31</v>
      </c>
      <c r="B32" s="12">
        <v>47</v>
      </c>
      <c r="C32" s="1" t="s">
        <v>148</v>
      </c>
      <c r="D32" s="1" t="s">
        <v>182</v>
      </c>
    </row>
    <row r="33" spans="1:4">
      <c r="A33" s="26">
        <v>32</v>
      </c>
      <c r="B33">
        <v>9</v>
      </c>
      <c r="C33" s="1" t="s">
        <v>149</v>
      </c>
      <c r="D33" s="1" t="s">
        <v>183</v>
      </c>
    </row>
    <row r="34" spans="1:4">
      <c r="A34" s="7">
        <v>33</v>
      </c>
      <c r="B34">
        <v>718458</v>
      </c>
      <c r="C34" s="1" t="s">
        <v>52</v>
      </c>
      <c r="D34" s="1" t="s">
        <v>184</v>
      </c>
    </row>
    <row r="35" spans="1:4">
      <c r="A35" s="7">
        <v>34</v>
      </c>
      <c r="B35" s="28">
        <v>132541</v>
      </c>
      <c r="C35" s="1" t="s">
        <v>147</v>
      </c>
      <c r="D35" s="1" t="s">
        <v>185</v>
      </c>
    </row>
    <row r="36" spans="1:4">
      <c r="A36" s="7">
        <v>35</v>
      </c>
      <c r="B36" s="28">
        <v>353427</v>
      </c>
      <c r="C36" s="1" t="s">
        <v>148</v>
      </c>
      <c r="D36" s="1" t="s">
        <v>186</v>
      </c>
    </row>
    <row r="37" spans="1:4">
      <c r="A37" s="7">
        <v>36</v>
      </c>
      <c r="B37" s="28">
        <v>327123</v>
      </c>
      <c r="C37" s="1" t="s">
        <v>149</v>
      </c>
      <c r="D37" s="1" t="s">
        <v>187</v>
      </c>
    </row>
    <row r="38" spans="1:4">
      <c r="A38" s="7">
        <v>37</v>
      </c>
      <c r="B38">
        <v>1388558</v>
      </c>
      <c r="C38" s="1" t="s">
        <v>52</v>
      </c>
      <c r="D38" s="1" t="s">
        <v>188</v>
      </c>
    </row>
    <row r="39" spans="1:4">
      <c r="A39" s="7">
        <v>38</v>
      </c>
      <c r="B39" s="28">
        <v>1506</v>
      </c>
      <c r="C39" s="1" t="s">
        <v>147</v>
      </c>
      <c r="D39" s="1" t="s">
        <v>189</v>
      </c>
    </row>
    <row r="40" spans="1:4">
      <c r="A40" s="7">
        <v>39</v>
      </c>
      <c r="B40" s="12">
        <v>54</v>
      </c>
      <c r="C40" s="1" t="s">
        <v>148</v>
      </c>
      <c r="D40" s="1" t="s">
        <v>190</v>
      </c>
    </row>
    <row r="41" spans="1:4">
      <c r="A41" s="7">
        <v>40</v>
      </c>
      <c r="B41" s="12">
        <v>21</v>
      </c>
      <c r="C41" s="1" t="s">
        <v>149</v>
      </c>
      <c r="D41" s="1" t="s">
        <v>191</v>
      </c>
    </row>
    <row r="42" spans="1:4">
      <c r="A42" s="12">
        <v>41</v>
      </c>
      <c r="B42">
        <v>769649</v>
      </c>
      <c r="C42" s="1" t="s">
        <v>52</v>
      </c>
      <c r="D42" s="1" t="s">
        <v>192</v>
      </c>
    </row>
    <row r="43" spans="1:4">
      <c r="A43" s="26">
        <v>42</v>
      </c>
      <c r="B43" s="28">
        <v>103166</v>
      </c>
      <c r="C43" s="1" t="s">
        <v>147</v>
      </c>
      <c r="D43" s="1" t="s">
        <v>193</v>
      </c>
    </row>
    <row r="44" spans="1:4">
      <c r="A44" s="7">
        <v>43</v>
      </c>
      <c r="B44" s="28">
        <v>141947</v>
      </c>
      <c r="C44" s="1" t="s">
        <v>148</v>
      </c>
      <c r="D44" s="1" t="s">
        <v>194</v>
      </c>
    </row>
    <row r="45" spans="1:4">
      <c r="A45" s="7">
        <v>44</v>
      </c>
      <c r="B45" s="28">
        <v>168968</v>
      </c>
      <c r="C45" s="1" t="s">
        <v>149</v>
      </c>
      <c r="D45" s="1" t="s">
        <v>195</v>
      </c>
    </row>
    <row r="46" spans="1:4">
      <c r="A46" s="7">
        <v>45</v>
      </c>
      <c r="B46">
        <v>863508</v>
      </c>
      <c r="C46" s="1" t="s">
        <v>52</v>
      </c>
      <c r="D46" s="1" t="s">
        <v>196</v>
      </c>
    </row>
    <row r="47" spans="1:4">
      <c r="A47" s="7">
        <v>46</v>
      </c>
      <c r="B47" s="28">
        <v>116005</v>
      </c>
      <c r="C47" s="1" t="s">
        <v>147</v>
      </c>
      <c r="D47" s="1" t="s">
        <v>197</v>
      </c>
    </row>
    <row r="48" spans="1:4">
      <c r="A48" s="7">
        <v>47</v>
      </c>
      <c r="B48" s="28">
        <v>151228</v>
      </c>
      <c r="C48" s="1" t="s">
        <v>148</v>
      </c>
      <c r="D48" s="1" t="s">
        <v>198</v>
      </c>
    </row>
    <row r="49" spans="1:4">
      <c r="A49" s="7">
        <v>48</v>
      </c>
      <c r="B49" s="28">
        <v>113524</v>
      </c>
      <c r="C49" s="1" t="s">
        <v>149</v>
      </c>
      <c r="D49" s="1" t="s">
        <v>199</v>
      </c>
    </row>
    <row r="50" spans="1:4">
      <c r="A50" s="7">
        <v>49</v>
      </c>
      <c r="B50">
        <v>763599</v>
      </c>
      <c r="C50" s="1" t="s">
        <v>52</v>
      </c>
      <c r="D50" s="1" t="s">
        <v>200</v>
      </c>
    </row>
    <row r="51" spans="1:4">
      <c r="A51" s="7">
        <v>50</v>
      </c>
      <c r="B51" s="28">
        <v>96722</v>
      </c>
      <c r="C51" s="1" t="s">
        <v>147</v>
      </c>
      <c r="D51" s="1" t="s">
        <v>201</v>
      </c>
    </row>
    <row r="52" spans="1:4">
      <c r="A52" s="7">
        <v>51</v>
      </c>
      <c r="B52" s="28">
        <v>110019</v>
      </c>
      <c r="C52" s="1" t="s">
        <v>148</v>
      </c>
      <c r="D52" s="1" t="s">
        <v>202</v>
      </c>
    </row>
    <row r="53" spans="1:4">
      <c r="A53" s="7">
        <v>52</v>
      </c>
      <c r="B53" s="28">
        <v>49645</v>
      </c>
      <c r="C53" s="1" t="s">
        <v>149</v>
      </c>
      <c r="D53" s="1" t="s">
        <v>203</v>
      </c>
    </row>
    <row r="54" spans="1:4">
      <c r="A54" s="7">
        <v>53</v>
      </c>
      <c r="B54" s="28">
        <v>823588</v>
      </c>
      <c r="C54" s="1" t="s">
        <v>52</v>
      </c>
      <c r="D54" s="1" t="s">
        <v>204</v>
      </c>
    </row>
    <row r="55" spans="1:4">
      <c r="A55" s="7">
        <v>54</v>
      </c>
      <c r="B55" s="28">
        <v>105951</v>
      </c>
      <c r="C55" s="1" t="s">
        <v>147</v>
      </c>
      <c r="D55" s="1" t="s">
        <v>205</v>
      </c>
    </row>
    <row r="56" spans="1:4">
      <c r="A56" s="7">
        <v>55</v>
      </c>
      <c r="B56" s="28">
        <v>98087</v>
      </c>
      <c r="C56" s="1" t="s">
        <v>148</v>
      </c>
      <c r="D56" s="1" t="s">
        <v>206</v>
      </c>
    </row>
    <row r="57" spans="1:4">
      <c r="A57" s="7">
        <v>56</v>
      </c>
      <c r="B57" s="28">
        <v>17960</v>
      </c>
      <c r="C57" s="1" t="s">
        <v>149</v>
      </c>
      <c r="D57" s="1" t="s">
        <v>207</v>
      </c>
    </row>
    <row r="58" spans="1:4">
      <c r="A58" s="7">
        <v>57</v>
      </c>
      <c r="B58" s="28">
        <v>929215</v>
      </c>
      <c r="C58" s="1" t="s">
        <v>52</v>
      </c>
      <c r="D58" s="1" t="s">
        <v>208</v>
      </c>
    </row>
    <row r="59" spans="1:4">
      <c r="A59" s="7">
        <v>58</v>
      </c>
      <c r="B59" s="28">
        <v>110903</v>
      </c>
      <c r="C59" s="1" t="s">
        <v>147</v>
      </c>
      <c r="D59" s="1" t="s">
        <v>209</v>
      </c>
    </row>
    <row r="60" spans="1:4">
      <c r="A60" s="7">
        <v>59</v>
      </c>
      <c r="B60" s="28">
        <v>52801</v>
      </c>
      <c r="C60" s="1" t="s">
        <v>148</v>
      </c>
      <c r="D60" s="1" t="s">
        <v>210</v>
      </c>
    </row>
    <row r="61" spans="1:4">
      <c r="A61" s="7">
        <v>60</v>
      </c>
      <c r="B61" s="28">
        <v>1172</v>
      </c>
      <c r="C61" s="1" t="s">
        <v>149</v>
      </c>
      <c r="D61" s="1" t="s">
        <v>211</v>
      </c>
    </row>
    <row r="62" spans="1:4">
      <c r="A62" s="26">
        <v>61</v>
      </c>
      <c r="B62">
        <v>1017089</v>
      </c>
      <c r="C62" s="1" t="s">
        <v>52</v>
      </c>
      <c r="D62" s="1" t="s">
        <v>212</v>
      </c>
    </row>
    <row r="63" spans="1:4">
      <c r="A63" s="7">
        <v>62</v>
      </c>
      <c r="B63" s="28">
        <v>67864</v>
      </c>
      <c r="C63" s="1" t="s">
        <v>147</v>
      </c>
      <c r="D63" s="1" t="s">
        <v>213</v>
      </c>
    </row>
    <row r="64" spans="1:4">
      <c r="A64" s="7">
        <v>63</v>
      </c>
      <c r="B64" s="28">
        <v>4119</v>
      </c>
      <c r="C64" s="1" t="s">
        <v>148</v>
      </c>
      <c r="D64" s="1" t="s">
        <v>214</v>
      </c>
    </row>
    <row r="65" spans="1:4">
      <c r="A65" s="26">
        <v>64</v>
      </c>
      <c r="B65" s="28">
        <v>7</v>
      </c>
      <c r="C65" s="1" t="s">
        <v>149</v>
      </c>
      <c r="D65" s="1" t="s">
        <v>215</v>
      </c>
    </row>
    <row r="66" spans="1:4">
      <c r="A66" s="7">
        <v>65</v>
      </c>
      <c r="B66" s="28">
        <v>939101</v>
      </c>
      <c r="C66" s="1" t="s">
        <v>52</v>
      </c>
      <c r="D66" s="1" t="s">
        <v>216</v>
      </c>
    </row>
    <row r="67" spans="1:4">
      <c r="A67" s="7">
        <v>66</v>
      </c>
      <c r="B67" s="28">
        <v>17948</v>
      </c>
      <c r="C67" s="1" t="s">
        <v>147</v>
      </c>
      <c r="D67" s="1" t="s">
        <v>217</v>
      </c>
    </row>
    <row r="68" spans="1:4">
      <c r="A68" s="7">
        <v>67</v>
      </c>
      <c r="B68" s="12">
        <v>58</v>
      </c>
      <c r="C68" s="1" t="s">
        <v>148</v>
      </c>
      <c r="D68" s="1" t="s">
        <v>218</v>
      </c>
    </row>
    <row r="69" spans="1:4">
      <c r="A69" s="26">
        <v>68</v>
      </c>
      <c r="B69">
        <v>1</v>
      </c>
      <c r="C69" s="1" t="s">
        <v>149</v>
      </c>
      <c r="D69" s="1" t="s">
        <v>219</v>
      </c>
    </row>
    <row r="70" spans="1:4">
      <c r="A70" s="7">
        <v>69</v>
      </c>
      <c r="B70" s="28">
        <v>560665</v>
      </c>
      <c r="C70" s="1" t="s">
        <v>52</v>
      </c>
      <c r="D70" s="1" t="s">
        <v>220</v>
      </c>
    </row>
    <row r="71" spans="1:4">
      <c r="A71" s="7">
        <v>70</v>
      </c>
      <c r="B71" s="12">
        <v>110</v>
      </c>
      <c r="C71" s="1" t="s">
        <v>147</v>
      </c>
      <c r="D71" s="1" t="s">
        <v>221</v>
      </c>
    </row>
    <row r="72" spans="1:4">
      <c r="A72" s="7">
        <v>71</v>
      </c>
      <c r="B72" s="28">
        <v>37</v>
      </c>
      <c r="C72" s="1" t="s">
        <v>148</v>
      </c>
      <c r="D72" s="1" t="s">
        <v>222</v>
      </c>
    </row>
    <row r="73" spans="1:4">
      <c r="A73" s="7">
        <v>72</v>
      </c>
      <c r="B73" s="28">
        <v>27</v>
      </c>
      <c r="C73" s="1" t="s">
        <v>149</v>
      </c>
      <c r="D73" s="1" t="s">
        <v>223</v>
      </c>
    </row>
    <row r="74" spans="1:4">
      <c r="A74" s="7">
        <v>73</v>
      </c>
      <c r="B74" s="28">
        <v>505584</v>
      </c>
      <c r="C74" s="1" t="s">
        <v>52</v>
      </c>
      <c r="D74" s="1" t="s">
        <v>224</v>
      </c>
    </row>
    <row r="75" spans="1:4">
      <c r="A75" s="7">
        <v>74</v>
      </c>
      <c r="B75" s="28">
        <v>75476</v>
      </c>
      <c r="C75" s="1" t="s">
        <v>147</v>
      </c>
      <c r="D75" s="1" t="s">
        <v>225</v>
      </c>
    </row>
    <row r="76" spans="1:4">
      <c r="A76" s="7">
        <v>75</v>
      </c>
      <c r="B76" s="28">
        <v>171844</v>
      </c>
      <c r="C76" s="1" t="s">
        <v>148</v>
      </c>
      <c r="D76" s="1" t="s">
        <v>226</v>
      </c>
    </row>
    <row r="77" spans="1:4">
      <c r="A77" s="7">
        <v>76</v>
      </c>
      <c r="B77" s="28">
        <v>275426</v>
      </c>
      <c r="C77" s="1" t="s">
        <v>149</v>
      </c>
      <c r="D77" s="1" t="s">
        <v>227</v>
      </c>
    </row>
    <row r="78" spans="1:4">
      <c r="A78" s="7">
        <v>77</v>
      </c>
      <c r="B78">
        <v>874262</v>
      </c>
      <c r="C78" s="1" t="s">
        <v>52</v>
      </c>
      <c r="D78" s="1" t="s">
        <v>228</v>
      </c>
    </row>
    <row r="79" spans="1:4">
      <c r="A79" s="7">
        <v>78</v>
      </c>
      <c r="B79" s="28">
        <v>1375</v>
      </c>
      <c r="C79" s="1" t="s">
        <v>147</v>
      </c>
      <c r="D79" s="1" t="s">
        <v>229</v>
      </c>
    </row>
    <row r="80" spans="1:4">
      <c r="A80" s="7">
        <v>79</v>
      </c>
      <c r="B80" s="12">
        <v>24</v>
      </c>
      <c r="C80" s="1" t="s">
        <v>148</v>
      </c>
      <c r="D80" s="1" t="s">
        <v>230</v>
      </c>
    </row>
    <row r="81" spans="1:4">
      <c r="A81" s="7">
        <v>80</v>
      </c>
      <c r="B81" s="12">
        <v>10</v>
      </c>
      <c r="C81" s="1" t="s">
        <v>149</v>
      </c>
      <c r="D81" s="1" t="s">
        <v>231</v>
      </c>
    </row>
    <row r="82" spans="1:4">
      <c r="A82" s="7">
        <v>81</v>
      </c>
      <c r="B82">
        <v>1</v>
      </c>
      <c r="C82">
        <v>1</v>
      </c>
      <c r="D82" s="3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2"/>
  <sheetViews>
    <sheetView zoomScale="137" zoomScaleNormal="137" zoomScaleSheetLayoutView="62" workbookViewId="0">
      <selection activeCell="G1" sqref="G1:G1048576"/>
    </sheetView>
  </sheetViews>
  <sheetFormatPr baseColWidth="10" defaultColWidth="8.83203125" defaultRowHeight="15"/>
  <cols>
    <col min="1" max="1" width="9.1640625" bestFit="1" customWidth="1"/>
    <col min="2" max="2" width="5.6640625" customWidth="1"/>
    <col min="3" max="3" width="7.5" customWidth="1"/>
    <col min="6" max="6" width="18" bestFit="1" customWidth="1"/>
    <col min="7" max="7" width="23.6640625" bestFit="1" customWidth="1"/>
    <col min="8" max="8" width="10.6640625" bestFit="1" customWidth="1"/>
    <col min="9" max="9" width="23.83203125" bestFit="1" customWidth="1"/>
    <col min="10" max="10" width="22.6640625" customWidth="1"/>
    <col min="11" max="11" width="39.1640625" bestFit="1" customWidth="1"/>
    <col min="12" max="12" width="12.6640625" bestFit="1" customWidth="1"/>
    <col min="13" max="13" width="12.1640625" bestFit="1" customWidth="1"/>
    <col min="14" max="14" width="14.1640625" bestFit="1" customWidth="1"/>
    <col min="15" max="15" width="16.5" bestFit="1" customWidth="1"/>
    <col min="16" max="16" width="12.6640625" bestFit="1" customWidth="1"/>
    <col min="17" max="17" width="11.5" bestFit="1" customWidth="1"/>
    <col min="18" max="18" width="8.83203125" bestFit="1" customWidth="1"/>
    <col min="19" max="19" width="9.5" bestFit="1" customWidth="1"/>
    <col min="20" max="20" width="4.1640625" bestFit="1" customWidth="1"/>
    <col min="21" max="21" width="6.83203125" bestFit="1" customWidth="1"/>
    <col min="25" max="25" width="11.83203125" customWidth="1"/>
    <col min="26" max="26" width="7.6640625" bestFit="1" customWidth="1"/>
    <col min="27" max="35" width="24" bestFit="1" customWidth="1"/>
    <col min="36" max="36" width="23.1640625" customWidth="1"/>
    <col min="37" max="37" width="24" bestFit="1" customWidth="1"/>
    <col min="38" max="38" width="6.1640625" customWidth="1"/>
  </cols>
  <sheetData>
    <row r="1" spans="1:27" s="13" customFormat="1" ht="147" customHeight="1">
      <c r="A1" s="8" t="s">
        <v>4</v>
      </c>
      <c r="B1" s="8" t="s">
        <v>0</v>
      </c>
      <c r="C1" s="8" t="s">
        <v>15</v>
      </c>
      <c r="D1" s="8" t="s">
        <v>1</v>
      </c>
      <c r="E1" s="8" t="s">
        <v>146</v>
      </c>
      <c r="F1" s="8" t="s">
        <v>2</v>
      </c>
      <c r="G1" s="8" t="s">
        <v>3</v>
      </c>
      <c r="H1" s="8" t="s">
        <v>5</v>
      </c>
      <c r="I1" s="8" t="s">
        <v>6</v>
      </c>
      <c r="J1" s="9" t="s">
        <v>17</v>
      </c>
      <c r="K1" s="10" t="s">
        <v>20</v>
      </c>
      <c r="L1" s="8" t="s">
        <v>19</v>
      </c>
      <c r="M1" s="9" t="s">
        <v>22</v>
      </c>
      <c r="N1" s="9" t="s">
        <v>56</v>
      </c>
      <c r="O1" s="13" t="s">
        <v>72</v>
      </c>
      <c r="P1" s="13" t="s">
        <v>73</v>
      </c>
      <c r="Q1" s="13" t="s">
        <v>66</v>
      </c>
      <c r="R1" s="13" t="s">
        <v>101</v>
      </c>
      <c r="S1" s="13" t="s">
        <v>102</v>
      </c>
      <c r="T1" s="13" t="s">
        <v>103</v>
      </c>
      <c r="U1" s="13" t="s">
        <v>104</v>
      </c>
      <c r="V1" s="47" t="s">
        <v>53</v>
      </c>
      <c r="W1" s="47" t="s">
        <v>105</v>
      </c>
      <c r="X1" s="48" t="s">
        <v>115</v>
      </c>
      <c r="Y1" s="47" t="s">
        <v>145</v>
      </c>
      <c r="Z1" s="47" t="s">
        <v>116</v>
      </c>
      <c r="AA1" s="47" t="s">
        <v>144</v>
      </c>
    </row>
    <row r="2" spans="1:27" ht="16">
      <c r="A2" s="1">
        <v>20230301</v>
      </c>
      <c r="B2" s="1">
        <v>1</v>
      </c>
      <c r="C2" s="1">
        <v>16</v>
      </c>
      <c r="D2" s="1" t="s">
        <v>18</v>
      </c>
      <c r="E2" s="1" t="s">
        <v>52</v>
      </c>
      <c r="F2" s="1" t="str">
        <f t="shared" ref="F2:F33" si="0">CONCATENATE(B2,"_",C2,"_",D2)</f>
        <v>1_16_un</v>
      </c>
      <c r="G2" s="1" t="str">
        <f t="shared" ref="G2:G33" si="1">CONCATENATE(A2,"_",C2,"nM_Gate",D2)</f>
        <v>20230301_16nM_Gateun</v>
      </c>
      <c r="H2" s="1">
        <v>16</v>
      </c>
      <c r="I2" s="1" t="str">
        <f t="shared" ref="I2:I33" si="2">CONCATENATE(A2,"_",H2,"nM_Gate",D2)</f>
        <v>20230301_16nM_Gateun</v>
      </c>
      <c r="J2" t="str">
        <f t="shared" ref="J2:J33" si="3">CONCATENATE("MutLib_",H2,"nM_miniHAPE")</f>
        <v>MutLib_16nM_miniHAPE</v>
      </c>
      <c r="K2" s="6" t="str">
        <f t="shared" ref="K2:K33" si="4">CONCATENATE(A2,"; CR9114 m.l.; ",C2,"nM mHA-PE; G: ",D2)</f>
        <v>20230301; CR9114 m.l.; 16nM mHA-PE; G: un</v>
      </c>
      <c r="L2" s="7">
        <v>1</v>
      </c>
      <c r="M2" s="7">
        <v>6.5</v>
      </c>
      <c r="N2" s="7">
        <v>1</v>
      </c>
      <c r="O2" s="22">
        <v>29.943999999999999</v>
      </c>
      <c r="P2" s="22">
        <f>(O2/2.5)-1</f>
        <v>10.977599999999999</v>
      </c>
      <c r="Q2">
        <v>1146617</v>
      </c>
      <c r="R2" s="43">
        <v>55.988999999999997</v>
      </c>
      <c r="T2" s="44">
        <f>R2*12</f>
        <v>671.86799999999994</v>
      </c>
      <c r="U2" s="22">
        <f>100/R2</f>
        <v>1.786065119934273</v>
      </c>
      <c r="V2" s="7">
        <v>1</v>
      </c>
      <c r="W2" s="6" t="s">
        <v>106</v>
      </c>
      <c r="X2" s="6" t="s">
        <v>40</v>
      </c>
      <c r="Y2" s="49" t="s">
        <v>121</v>
      </c>
      <c r="Z2" s="6" t="s">
        <v>31</v>
      </c>
      <c r="AA2" s="49" t="s">
        <v>107</v>
      </c>
    </row>
    <row r="3" spans="1:27" ht="16">
      <c r="A3" s="1">
        <v>20230301</v>
      </c>
      <c r="B3" s="1">
        <v>1</v>
      </c>
      <c r="C3" s="1">
        <v>16</v>
      </c>
      <c r="D3" s="1">
        <v>1</v>
      </c>
      <c r="E3" s="1" t="s">
        <v>147</v>
      </c>
      <c r="F3" s="1" t="str">
        <f t="shared" si="0"/>
        <v>1_16_1</v>
      </c>
      <c r="G3" s="1" t="str">
        <f t="shared" si="1"/>
        <v>20230301_16nM_Gate1</v>
      </c>
      <c r="H3" s="1">
        <v>16</v>
      </c>
      <c r="I3" s="1" t="str">
        <f t="shared" si="2"/>
        <v>20230301_16nM_Gate1</v>
      </c>
      <c r="J3" t="str">
        <f t="shared" si="3"/>
        <v>MutLib_16nM_miniHAPE</v>
      </c>
      <c r="K3" s="6" t="str">
        <f t="shared" si="4"/>
        <v>20230301; CR9114 m.l.; 16nM mHA-PE; G: 1</v>
      </c>
      <c r="L3" s="7">
        <v>2</v>
      </c>
      <c r="M3" s="7">
        <v>7.6</v>
      </c>
      <c r="N3" s="7">
        <v>2</v>
      </c>
      <c r="O3" s="22">
        <v>19.103999999999999</v>
      </c>
      <c r="P3" s="22">
        <f t="shared" ref="P3:P66" si="5">(O3/2.5)-1</f>
        <v>6.6415999999999995</v>
      </c>
      <c r="Q3" s="28">
        <v>151952</v>
      </c>
      <c r="R3" s="43">
        <v>47.363</v>
      </c>
      <c r="T3" s="44">
        <f t="shared" ref="T3:T66" si="6">R3*12</f>
        <v>568.35599999999999</v>
      </c>
      <c r="U3" s="22">
        <f t="shared" ref="U3:U66" si="7">100/R3</f>
        <v>2.1113527437028905</v>
      </c>
      <c r="V3" s="7">
        <v>2</v>
      </c>
      <c r="W3" s="6" t="s">
        <v>106</v>
      </c>
      <c r="X3" s="6" t="s">
        <v>40</v>
      </c>
      <c r="Y3" s="49" t="s">
        <v>121</v>
      </c>
      <c r="Z3" s="6" t="s">
        <v>32</v>
      </c>
      <c r="AA3" s="49" t="s">
        <v>108</v>
      </c>
    </row>
    <row r="4" spans="1:27" ht="16">
      <c r="A4" s="1">
        <v>20230301</v>
      </c>
      <c r="B4" s="1">
        <v>1</v>
      </c>
      <c r="C4" s="1">
        <v>16</v>
      </c>
      <c r="D4" s="1">
        <v>2</v>
      </c>
      <c r="E4" s="1" t="s">
        <v>148</v>
      </c>
      <c r="F4" s="1" t="str">
        <f t="shared" si="0"/>
        <v>1_16_2</v>
      </c>
      <c r="G4" s="1" t="str">
        <f t="shared" si="1"/>
        <v>20230301_16nM_Gate2</v>
      </c>
      <c r="H4" s="1">
        <v>16</v>
      </c>
      <c r="I4" s="1" t="str">
        <f t="shared" si="2"/>
        <v>20230301_16nM_Gate2</v>
      </c>
      <c r="J4" t="str">
        <f t="shared" si="3"/>
        <v>MutLib_16nM_miniHAPE</v>
      </c>
      <c r="K4" s="6" t="str">
        <f t="shared" si="4"/>
        <v>20230301; CR9114 m.l.; 16nM mHA-PE; G: 2</v>
      </c>
      <c r="L4" s="7">
        <v>3</v>
      </c>
      <c r="M4" s="7">
        <v>11.3</v>
      </c>
      <c r="N4" s="7">
        <v>3</v>
      </c>
      <c r="O4" s="22">
        <v>54.017000000000003</v>
      </c>
      <c r="P4" s="22">
        <f t="shared" si="5"/>
        <v>20.6068</v>
      </c>
      <c r="Q4" s="28">
        <v>217266</v>
      </c>
      <c r="R4" s="43">
        <v>45.485999999999997</v>
      </c>
      <c r="T4" s="44">
        <f t="shared" si="6"/>
        <v>545.83199999999999</v>
      </c>
      <c r="U4" s="22">
        <f t="shared" si="7"/>
        <v>2.1984786527722817</v>
      </c>
      <c r="V4" s="7">
        <v>3</v>
      </c>
      <c r="W4" s="6" t="s">
        <v>106</v>
      </c>
      <c r="X4" s="6" t="s">
        <v>40</v>
      </c>
      <c r="Y4" s="49" t="s">
        <v>121</v>
      </c>
      <c r="Z4" s="6" t="s">
        <v>33</v>
      </c>
      <c r="AA4" s="49" t="s">
        <v>109</v>
      </c>
    </row>
    <row r="5" spans="1:27" ht="16">
      <c r="A5" s="1">
        <v>20230301</v>
      </c>
      <c r="B5" s="1">
        <v>1</v>
      </c>
      <c r="C5" s="1">
        <v>16</v>
      </c>
      <c r="D5" s="1">
        <v>3</v>
      </c>
      <c r="E5" s="1" t="s">
        <v>149</v>
      </c>
      <c r="F5" s="1" t="str">
        <f t="shared" si="0"/>
        <v>1_16_3</v>
      </c>
      <c r="G5" s="1" t="str">
        <f t="shared" si="1"/>
        <v>20230301_16nM_Gate3</v>
      </c>
      <c r="H5" s="1">
        <v>16</v>
      </c>
      <c r="I5" s="1" t="str">
        <f t="shared" si="2"/>
        <v>20230301_16nM_Gate3</v>
      </c>
      <c r="J5" t="str">
        <f t="shared" si="3"/>
        <v>MutLib_16nM_miniHAPE</v>
      </c>
      <c r="K5" s="6" t="str">
        <f t="shared" si="4"/>
        <v>20230301; CR9114 m.l.; 16nM mHA-PE; G: 3</v>
      </c>
      <c r="L5" s="7">
        <v>4</v>
      </c>
      <c r="M5" s="7">
        <v>17.399999999999999</v>
      </c>
      <c r="N5" s="7">
        <v>4</v>
      </c>
      <c r="O5" s="22">
        <v>39.286999999999999</v>
      </c>
      <c r="P5" s="22">
        <f t="shared" si="5"/>
        <v>14.7148</v>
      </c>
      <c r="Q5" s="28">
        <v>226754</v>
      </c>
      <c r="R5" s="43">
        <v>56.57</v>
      </c>
      <c r="T5" s="44">
        <f t="shared" si="6"/>
        <v>678.84</v>
      </c>
      <c r="U5" s="22">
        <f t="shared" si="7"/>
        <v>1.7677214071062402</v>
      </c>
      <c r="V5" s="7">
        <v>4</v>
      </c>
      <c r="W5" s="6" t="s">
        <v>106</v>
      </c>
      <c r="X5" s="6" t="s">
        <v>40</v>
      </c>
      <c r="Y5" s="49" t="s">
        <v>121</v>
      </c>
      <c r="Z5" s="6" t="s">
        <v>34</v>
      </c>
      <c r="AA5" s="49" t="s">
        <v>110</v>
      </c>
    </row>
    <row r="6" spans="1:27" ht="16">
      <c r="A6" s="1">
        <v>20230301</v>
      </c>
      <c r="B6" s="1">
        <v>1</v>
      </c>
      <c r="C6" s="1">
        <v>5</v>
      </c>
      <c r="D6" s="1" t="s">
        <v>18</v>
      </c>
      <c r="E6" s="1" t="s">
        <v>52</v>
      </c>
      <c r="F6" s="1" t="str">
        <f t="shared" si="0"/>
        <v>1_5_un</v>
      </c>
      <c r="G6" s="1" t="str">
        <f t="shared" si="1"/>
        <v>20230301_5nM_Gateun</v>
      </c>
      <c r="H6" s="1">
        <v>5</v>
      </c>
      <c r="I6" s="1" t="str">
        <f t="shared" si="2"/>
        <v>20230301_5nM_Gateun</v>
      </c>
      <c r="J6" t="str">
        <f t="shared" si="3"/>
        <v>MutLib_5nM_miniHAPE</v>
      </c>
      <c r="K6" s="6" t="str">
        <f t="shared" si="4"/>
        <v>20230301; CR9114 m.l.; 5nM mHA-PE; G: un</v>
      </c>
      <c r="L6" s="7">
        <v>5</v>
      </c>
      <c r="M6" s="7">
        <v>22.8</v>
      </c>
      <c r="N6" s="7">
        <v>5</v>
      </c>
      <c r="O6" s="22">
        <v>21.009</v>
      </c>
      <c r="P6" s="22">
        <f t="shared" si="5"/>
        <v>7.4036000000000008</v>
      </c>
      <c r="Q6">
        <v>1039830</v>
      </c>
      <c r="R6" s="43">
        <v>36.979999999999997</v>
      </c>
      <c r="T6" s="44">
        <f t="shared" si="6"/>
        <v>443.76</v>
      </c>
      <c r="U6" s="22">
        <f t="shared" si="7"/>
        <v>2.7041644131963225</v>
      </c>
      <c r="V6" s="7">
        <v>5</v>
      </c>
      <c r="W6" s="6" t="s">
        <v>106</v>
      </c>
      <c r="X6" s="6" t="s">
        <v>40</v>
      </c>
      <c r="Y6" s="49" t="s">
        <v>121</v>
      </c>
      <c r="Z6" s="6" t="s">
        <v>35</v>
      </c>
      <c r="AA6" s="49" t="s">
        <v>111</v>
      </c>
    </row>
    <row r="7" spans="1:27" ht="16">
      <c r="A7" s="1">
        <v>20230301</v>
      </c>
      <c r="B7" s="1">
        <v>1</v>
      </c>
      <c r="C7" s="1">
        <v>5</v>
      </c>
      <c r="D7" s="1">
        <v>1</v>
      </c>
      <c r="E7" s="1" t="s">
        <v>147</v>
      </c>
      <c r="F7" s="1" t="str">
        <f t="shared" si="0"/>
        <v>1_5_1</v>
      </c>
      <c r="G7" s="1" t="str">
        <f t="shared" si="1"/>
        <v>20230301_5nM_Gate1</v>
      </c>
      <c r="H7" s="1">
        <v>5</v>
      </c>
      <c r="I7" s="1" t="str">
        <f t="shared" si="2"/>
        <v>20230301_5nM_Gate1</v>
      </c>
      <c r="J7" t="str">
        <f t="shared" si="3"/>
        <v>MutLib_5nM_miniHAPE</v>
      </c>
      <c r="K7" s="6" t="str">
        <f t="shared" si="4"/>
        <v>20230301; CR9114 m.l.; 5nM mHA-PE; G: 1</v>
      </c>
      <c r="L7" s="7">
        <v>6</v>
      </c>
      <c r="M7" s="7">
        <v>4.3</v>
      </c>
      <c r="N7" s="7">
        <v>6</v>
      </c>
      <c r="O7" s="22">
        <v>58.552999999999997</v>
      </c>
      <c r="P7" s="22">
        <f t="shared" si="5"/>
        <v>22.421199999999999</v>
      </c>
      <c r="Q7" s="28">
        <v>136118</v>
      </c>
      <c r="R7" s="43">
        <v>52.942</v>
      </c>
      <c r="T7" s="44">
        <f t="shared" si="6"/>
        <v>635.30399999999997</v>
      </c>
      <c r="U7" s="22">
        <f t="shared" si="7"/>
        <v>1.8888595066298968</v>
      </c>
      <c r="V7" s="7">
        <v>6</v>
      </c>
      <c r="W7" s="6" t="s">
        <v>106</v>
      </c>
      <c r="X7" s="6" t="s">
        <v>40</v>
      </c>
      <c r="Y7" s="49" t="s">
        <v>121</v>
      </c>
      <c r="Z7" s="6" t="s">
        <v>36</v>
      </c>
      <c r="AA7" s="49" t="s">
        <v>112</v>
      </c>
    </row>
    <row r="8" spans="1:27" ht="16">
      <c r="A8" s="1">
        <v>20230301</v>
      </c>
      <c r="B8" s="1">
        <v>1</v>
      </c>
      <c r="C8" s="1">
        <v>5</v>
      </c>
      <c r="D8" s="1">
        <v>2</v>
      </c>
      <c r="E8" s="1" t="s">
        <v>148</v>
      </c>
      <c r="F8" s="1" t="str">
        <f t="shared" si="0"/>
        <v>1_5_2</v>
      </c>
      <c r="G8" s="1" t="str">
        <f t="shared" si="1"/>
        <v>20230301_5nM_Gate2</v>
      </c>
      <c r="H8" s="1">
        <v>5</v>
      </c>
      <c r="I8" s="1" t="str">
        <f t="shared" si="2"/>
        <v>20230301_5nM_Gate2</v>
      </c>
      <c r="J8" t="str">
        <f t="shared" si="3"/>
        <v>MutLib_5nM_miniHAPE</v>
      </c>
      <c r="K8" s="6" t="str">
        <f t="shared" si="4"/>
        <v>20230301; CR9114 m.l.; 5nM mHA-PE; G: 2</v>
      </c>
      <c r="L8" s="7">
        <v>7</v>
      </c>
      <c r="M8" s="7">
        <v>16.2</v>
      </c>
      <c r="N8" s="7">
        <v>7</v>
      </c>
      <c r="O8" s="22">
        <v>41.322000000000003</v>
      </c>
      <c r="P8" s="22">
        <f t="shared" si="5"/>
        <v>15.5288</v>
      </c>
      <c r="Q8" s="28">
        <v>195469</v>
      </c>
      <c r="R8" s="43">
        <v>49.767000000000003</v>
      </c>
      <c r="T8" s="44">
        <f t="shared" si="6"/>
        <v>597.20400000000006</v>
      </c>
      <c r="U8" s="22">
        <f t="shared" si="7"/>
        <v>2.0093636345369421</v>
      </c>
      <c r="V8" s="7">
        <v>7</v>
      </c>
      <c r="W8" s="6" t="s">
        <v>106</v>
      </c>
      <c r="X8" s="6" t="s">
        <v>40</v>
      </c>
      <c r="Y8" s="49" t="s">
        <v>121</v>
      </c>
      <c r="Z8" s="6" t="s">
        <v>37</v>
      </c>
      <c r="AA8" s="49" t="s">
        <v>113</v>
      </c>
    </row>
    <row r="9" spans="1:27" ht="16">
      <c r="A9" s="1">
        <v>20230301</v>
      </c>
      <c r="B9" s="1">
        <v>1</v>
      </c>
      <c r="C9" s="1">
        <v>5</v>
      </c>
      <c r="D9" s="1">
        <v>3</v>
      </c>
      <c r="E9" s="1" t="s">
        <v>149</v>
      </c>
      <c r="F9" s="1" t="str">
        <f t="shared" si="0"/>
        <v>1_5_3</v>
      </c>
      <c r="G9" s="1" t="str">
        <f t="shared" si="1"/>
        <v>20230301_5nM_Gate3</v>
      </c>
      <c r="H9" s="1">
        <v>5</v>
      </c>
      <c r="I9" s="1" t="str">
        <f t="shared" si="2"/>
        <v>20230301_5nM_Gate3</v>
      </c>
      <c r="J9" t="str">
        <f t="shared" si="3"/>
        <v>MutLib_5nM_miniHAPE</v>
      </c>
      <c r="K9" s="6" t="str">
        <f t="shared" si="4"/>
        <v>20230301; CR9114 m.l.; 5nM mHA-PE; G: 3</v>
      </c>
      <c r="L9" s="7">
        <v>8</v>
      </c>
      <c r="M9" s="7">
        <v>9.8000000000000007</v>
      </c>
      <c r="N9" s="7">
        <v>8</v>
      </c>
      <c r="O9" s="22">
        <v>30.2</v>
      </c>
      <c r="P9" s="22">
        <f t="shared" si="5"/>
        <v>11.08</v>
      </c>
      <c r="Q9" s="28">
        <v>167777</v>
      </c>
      <c r="R9" s="43">
        <v>54.165999999999997</v>
      </c>
      <c r="T9" s="44">
        <f t="shared" si="6"/>
        <v>649.99199999999996</v>
      </c>
      <c r="U9" s="22">
        <f t="shared" si="7"/>
        <v>1.8461765683269948</v>
      </c>
      <c r="V9" s="7">
        <v>8</v>
      </c>
      <c r="W9" s="6" t="s">
        <v>106</v>
      </c>
      <c r="X9" s="6" t="s">
        <v>40</v>
      </c>
      <c r="Y9" s="49" t="s">
        <v>121</v>
      </c>
      <c r="Z9" s="6" t="s">
        <v>38</v>
      </c>
      <c r="AA9" s="49" t="s">
        <v>114</v>
      </c>
    </row>
    <row r="10" spans="1:27" ht="16">
      <c r="A10" s="1">
        <v>20230301</v>
      </c>
      <c r="B10" s="1">
        <v>1</v>
      </c>
      <c r="C10" s="1">
        <v>1.6</v>
      </c>
      <c r="D10" s="1" t="s">
        <v>18</v>
      </c>
      <c r="E10" s="1" t="s">
        <v>52</v>
      </c>
      <c r="F10" s="1" t="str">
        <f t="shared" si="0"/>
        <v>1_1.6_un</v>
      </c>
      <c r="G10" s="1" t="str">
        <f t="shared" si="1"/>
        <v>20230301_1.6nM_Gateun</v>
      </c>
      <c r="H10" s="2" t="s">
        <v>7</v>
      </c>
      <c r="I10" s="1" t="str">
        <f t="shared" si="2"/>
        <v>20230301_16e-1nM_Gateun</v>
      </c>
      <c r="J10" t="str">
        <f t="shared" si="3"/>
        <v>MutLib_16e-1nM_miniHAPE</v>
      </c>
      <c r="K10" s="6" t="str">
        <f t="shared" si="4"/>
        <v>20230301; CR9114 m.l.; 1.6nM mHA-PE; G: un</v>
      </c>
      <c r="L10" s="7">
        <v>9</v>
      </c>
      <c r="M10" s="7">
        <v>26.7</v>
      </c>
      <c r="N10" s="7">
        <v>9</v>
      </c>
      <c r="O10" s="22">
        <v>15.157999999999999</v>
      </c>
      <c r="P10" s="22">
        <f t="shared" si="5"/>
        <v>5.0632000000000001</v>
      </c>
      <c r="Q10">
        <v>1004564</v>
      </c>
      <c r="R10" s="43">
        <v>42.911999999999999</v>
      </c>
      <c r="T10" s="44">
        <f t="shared" si="6"/>
        <v>514.94399999999996</v>
      </c>
      <c r="U10" s="22">
        <f t="shared" si="7"/>
        <v>2.3303504847129011</v>
      </c>
      <c r="V10" s="7">
        <v>9</v>
      </c>
      <c r="W10" s="6" t="s">
        <v>106</v>
      </c>
      <c r="X10" s="6" t="s">
        <v>41</v>
      </c>
      <c r="Y10" s="49" t="s">
        <v>123</v>
      </c>
      <c r="Z10" s="6" t="s">
        <v>31</v>
      </c>
      <c r="AA10" s="49" t="s">
        <v>107</v>
      </c>
    </row>
    <row r="11" spans="1:27" ht="16">
      <c r="A11" s="1">
        <v>20230301</v>
      </c>
      <c r="B11" s="1">
        <v>1</v>
      </c>
      <c r="C11" s="1">
        <v>1.6</v>
      </c>
      <c r="D11" s="1">
        <v>1</v>
      </c>
      <c r="E11" s="1" t="s">
        <v>147</v>
      </c>
      <c r="F11" s="1" t="str">
        <f t="shared" si="0"/>
        <v>1_1.6_1</v>
      </c>
      <c r="G11" s="1" t="str">
        <f t="shared" si="1"/>
        <v>20230301_1.6nM_Gate1</v>
      </c>
      <c r="H11" s="2" t="s">
        <v>7</v>
      </c>
      <c r="I11" s="1" t="str">
        <f t="shared" si="2"/>
        <v>20230301_16e-1nM_Gate1</v>
      </c>
      <c r="J11" t="str">
        <f t="shared" si="3"/>
        <v>MutLib_16e-1nM_miniHAPE</v>
      </c>
      <c r="K11" s="6" t="str">
        <f t="shared" si="4"/>
        <v>20230301; CR9114 m.l.; 1.6nM mHA-PE; G: 1</v>
      </c>
      <c r="L11" s="7">
        <v>10</v>
      </c>
      <c r="M11" s="7">
        <v>14.2</v>
      </c>
      <c r="N11" s="7">
        <v>10</v>
      </c>
      <c r="O11" s="22">
        <v>41.531999999999996</v>
      </c>
      <c r="P11" s="22">
        <f t="shared" si="5"/>
        <v>15.6128</v>
      </c>
      <c r="Q11" s="28">
        <v>137955</v>
      </c>
      <c r="R11" s="43">
        <v>53.469000000000001</v>
      </c>
      <c r="T11" s="44">
        <f t="shared" si="6"/>
        <v>641.62800000000004</v>
      </c>
      <c r="U11" s="22">
        <f t="shared" si="7"/>
        <v>1.8702425704613888</v>
      </c>
      <c r="V11" s="7">
        <v>10</v>
      </c>
      <c r="W11" s="6" t="s">
        <v>106</v>
      </c>
      <c r="X11" s="6" t="s">
        <v>41</v>
      </c>
      <c r="Y11" s="49" t="s">
        <v>123</v>
      </c>
      <c r="Z11" s="6" t="s">
        <v>32</v>
      </c>
      <c r="AA11" s="49" t="s">
        <v>108</v>
      </c>
    </row>
    <row r="12" spans="1:27" ht="16">
      <c r="A12" s="1">
        <v>20230301</v>
      </c>
      <c r="B12" s="1">
        <v>1</v>
      </c>
      <c r="C12" s="1">
        <v>1.6</v>
      </c>
      <c r="D12" s="1">
        <v>2</v>
      </c>
      <c r="E12" s="1" t="s">
        <v>148</v>
      </c>
      <c r="F12" s="1" t="str">
        <f t="shared" si="0"/>
        <v>1_1.6_2</v>
      </c>
      <c r="G12" s="1" t="str">
        <f t="shared" si="1"/>
        <v>20230301_1.6nM_Gate2</v>
      </c>
      <c r="H12" s="2" t="s">
        <v>7</v>
      </c>
      <c r="I12" s="1" t="str">
        <f t="shared" si="2"/>
        <v>20230301_16e-1nM_Gate2</v>
      </c>
      <c r="J12" t="str">
        <f t="shared" si="3"/>
        <v>MutLib_16e-1nM_miniHAPE</v>
      </c>
      <c r="K12" s="6" t="str">
        <f t="shared" si="4"/>
        <v>20230301; CR9114 m.l.; 1.6nM mHA-PE; G: 2</v>
      </c>
      <c r="L12" s="7">
        <v>11</v>
      </c>
      <c r="M12" s="7"/>
      <c r="N12" s="7">
        <v>11</v>
      </c>
      <c r="O12" s="22">
        <v>32.284999999999997</v>
      </c>
      <c r="P12" s="22">
        <f t="shared" si="5"/>
        <v>11.913999999999998</v>
      </c>
      <c r="Q12" s="28">
        <v>181812</v>
      </c>
      <c r="R12" s="43">
        <v>44.216000000000001</v>
      </c>
      <c r="T12" s="44">
        <f t="shared" si="6"/>
        <v>530.59199999999998</v>
      </c>
      <c r="U12" s="22">
        <f t="shared" si="7"/>
        <v>2.2616247512212775</v>
      </c>
      <c r="V12" s="7">
        <v>11</v>
      </c>
      <c r="W12" s="6" t="s">
        <v>106</v>
      </c>
      <c r="X12" s="6" t="s">
        <v>41</v>
      </c>
      <c r="Y12" s="49" t="s">
        <v>123</v>
      </c>
      <c r="Z12" s="6" t="s">
        <v>33</v>
      </c>
      <c r="AA12" s="49" t="s">
        <v>109</v>
      </c>
    </row>
    <row r="13" spans="1:27" ht="16">
      <c r="A13" s="1">
        <v>20230301</v>
      </c>
      <c r="B13" s="1">
        <v>1</v>
      </c>
      <c r="C13" s="1">
        <v>1.6</v>
      </c>
      <c r="D13" s="1">
        <v>3</v>
      </c>
      <c r="E13" s="1" t="s">
        <v>149</v>
      </c>
      <c r="F13" s="1" t="str">
        <f t="shared" si="0"/>
        <v>1_1.6_3</v>
      </c>
      <c r="G13" s="1" t="str">
        <f t="shared" si="1"/>
        <v>20230301_1.6nM_Gate3</v>
      </c>
      <c r="H13" s="2" t="s">
        <v>7</v>
      </c>
      <c r="I13" s="1" t="str">
        <f t="shared" si="2"/>
        <v>20230301_16e-1nM_Gate3</v>
      </c>
      <c r="J13" t="str">
        <f t="shared" si="3"/>
        <v>MutLib_16e-1nM_miniHAPE</v>
      </c>
      <c r="K13" s="6" t="str">
        <f t="shared" si="4"/>
        <v>20230301; CR9114 m.l.; 1.6nM mHA-PE; G: 3</v>
      </c>
      <c r="L13" s="7">
        <v>12</v>
      </c>
      <c r="M13" s="7"/>
      <c r="N13" s="7">
        <v>12</v>
      </c>
      <c r="O13" s="22">
        <v>45.018999999999998</v>
      </c>
      <c r="P13" s="22">
        <f t="shared" si="5"/>
        <v>17.0076</v>
      </c>
      <c r="Q13" s="28">
        <v>91530</v>
      </c>
      <c r="R13" s="43">
        <v>54.234000000000002</v>
      </c>
      <c r="T13" s="44">
        <f t="shared" si="6"/>
        <v>650.80799999999999</v>
      </c>
      <c r="U13" s="22">
        <f t="shared" si="7"/>
        <v>1.8438617841206622</v>
      </c>
      <c r="V13" s="7">
        <v>12</v>
      </c>
      <c r="W13" s="6" t="s">
        <v>106</v>
      </c>
      <c r="X13" s="6" t="s">
        <v>41</v>
      </c>
      <c r="Y13" s="49" t="s">
        <v>123</v>
      </c>
      <c r="Z13" s="6" t="s">
        <v>34</v>
      </c>
      <c r="AA13" s="49" t="s">
        <v>110</v>
      </c>
    </row>
    <row r="14" spans="1:27" ht="16">
      <c r="A14" s="1">
        <v>20230301</v>
      </c>
      <c r="B14" s="1">
        <v>1</v>
      </c>
      <c r="C14" s="1">
        <v>0.5</v>
      </c>
      <c r="D14" s="1" t="s">
        <v>18</v>
      </c>
      <c r="E14" s="1" t="s">
        <v>52</v>
      </c>
      <c r="F14" s="1" t="str">
        <f t="shared" si="0"/>
        <v>1_0.5_un</v>
      </c>
      <c r="G14" s="1" t="str">
        <f t="shared" si="1"/>
        <v>20230301_0.5nM_Gateun</v>
      </c>
      <c r="H14" s="2" t="s">
        <v>8</v>
      </c>
      <c r="I14" s="1" t="str">
        <f t="shared" si="2"/>
        <v>20230301_5e-1nM_Gateun</v>
      </c>
      <c r="J14" t="str">
        <f t="shared" si="3"/>
        <v>MutLib_5e-1nM_miniHAPE</v>
      </c>
      <c r="K14" s="6" t="str">
        <f t="shared" si="4"/>
        <v>20230301; CR9114 m.l.; 0.5nM mHA-PE; G: un</v>
      </c>
      <c r="L14" s="7">
        <v>13</v>
      </c>
      <c r="M14" s="7"/>
      <c r="N14" s="7">
        <v>13</v>
      </c>
      <c r="O14" s="22">
        <v>25.056000000000001</v>
      </c>
      <c r="P14" s="22">
        <f t="shared" si="5"/>
        <v>9.0224000000000011</v>
      </c>
      <c r="Q14">
        <v>1048789</v>
      </c>
      <c r="R14" s="43">
        <v>47.529000000000003</v>
      </c>
      <c r="T14" s="44">
        <f t="shared" si="6"/>
        <v>570.34800000000007</v>
      </c>
      <c r="U14" s="22">
        <f t="shared" si="7"/>
        <v>2.1039786235771842</v>
      </c>
      <c r="V14" s="7">
        <v>13</v>
      </c>
      <c r="W14" s="6" t="s">
        <v>106</v>
      </c>
      <c r="X14" s="6" t="s">
        <v>41</v>
      </c>
      <c r="Y14" s="49" t="s">
        <v>123</v>
      </c>
      <c r="Z14" s="6" t="s">
        <v>35</v>
      </c>
      <c r="AA14" s="49" t="s">
        <v>111</v>
      </c>
    </row>
    <row r="15" spans="1:27" ht="16">
      <c r="A15" s="1">
        <v>20230301</v>
      </c>
      <c r="B15" s="1">
        <v>1</v>
      </c>
      <c r="C15" s="1">
        <v>0.5</v>
      </c>
      <c r="D15" s="1">
        <v>1</v>
      </c>
      <c r="E15" s="1" t="s">
        <v>147</v>
      </c>
      <c r="F15" s="1" t="str">
        <f t="shared" si="0"/>
        <v>1_0.5_1</v>
      </c>
      <c r="G15" s="1" t="str">
        <f t="shared" si="1"/>
        <v>20230301_0.5nM_Gate1</v>
      </c>
      <c r="H15" s="2" t="s">
        <v>8</v>
      </c>
      <c r="I15" s="1" t="str">
        <f t="shared" si="2"/>
        <v>20230301_5e-1nM_Gate1</v>
      </c>
      <c r="J15" t="str">
        <f t="shared" si="3"/>
        <v>MutLib_5e-1nM_miniHAPE</v>
      </c>
      <c r="K15" s="6" t="str">
        <f t="shared" si="4"/>
        <v>20230301; CR9114 m.l.; 0.5nM mHA-PE; G: 1</v>
      </c>
      <c r="L15" s="7">
        <v>14</v>
      </c>
      <c r="M15" s="7"/>
      <c r="N15" s="7">
        <v>14</v>
      </c>
      <c r="O15" s="22">
        <v>52.665999999999997</v>
      </c>
      <c r="P15" s="22">
        <f>(O15/2.5)-1</f>
        <v>20.066399999999998</v>
      </c>
      <c r="Q15" s="28">
        <v>142926</v>
      </c>
      <c r="R15" s="43">
        <v>67.307000000000002</v>
      </c>
      <c r="T15" s="44">
        <f t="shared" si="6"/>
        <v>807.68399999999997</v>
      </c>
      <c r="U15" s="22">
        <f t="shared" si="7"/>
        <v>1.4857295675041229</v>
      </c>
      <c r="V15" s="7">
        <v>14</v>
      </c>
      <c r="W15" s="6" t="s">
        <v>106</v>
      </c>
      <c r="X15" s="6" t="s">
        <v>41</v>
      </c>
      <c r="Y15" s="49" t="s">
        <v>123</v>
      </c>
      <c r="Z15" s="6" t="s">
        <v>36</v>
      </c>
      <c r="AA15" s="49" t="s">
        <v>112</v>
      </c>
    </row>
    <row r="16" spans="1:27" ht="16">
      <c r="A16" s="1">
        <v>20230301</v>
      </c>
      <c r="B16" s="1">
        <v>1</v>
      </c>
      <c r="C16" s="1">
        <v>0.5</v>
      </c>
      <c r="D16" s="1">
        <v>2</v>
      </c>
      <c r="E16" s="1" t="s">
        <v>148</v>
      </c>
      <c r="F16" s="1" t="str">
        <f t="shared" si="0"/>
        <v>1_0.5_2</v>
      </c>
      <c r="G16" s="1" t="str">
        <f t="shared" si="1"/>
        <v>20230301_0.5nM_Gate2</v>
      </c>
      <c r="H16" s="2" t="s">
        <v>8</v>
      </c>
      <c r="I16" s="1" t="str">
        <f t="shared" si="2"/>
        <v>20230301_5e-1nM_Gate2</v>
      </c>
      <c r="J16" t="str">
        <f t="shared" si="3"/>
        <v>MutLib_5e-1nM_miniHAPE</v>
      </c>
      <c r="K16" s="6" t="str">
        <f t="shared" si="4"/>
        <v>20230301; CR9114 m.l.; 0.5nM mHA-PE; G: 2</v>
      </c>
      <c r="L16" s="7">
        <v>15</v>
      </c>
      <c r="M16" s="7"/>
      <c r="N16" s="7">
        <v>15</v>
      </c>
      <c r="O16" s="22">
        <v>54.69</v>
      </c>
      <c r="P16" s="22">
        <f t="shared" si="5"/>
        <v>20.875999999999998</v>
      </c>
      <c r="Q16" s="28">
        <v>136700</v>
      </c>
      <c r="R16" s="43">
        <v>72.661000000000001</v>
      </c>
      <c r="T16" s="44">
        <f t="shared" si="6"/>
        <v>871.93200000000002</v>
      </c>
      <c r="U16" s="22">
        <f t="shared" si="7"/>
        <v>1.3762541115591582</v>
      </c>
      <c r="V16" s="7">
        <v>15</v>
      </c>
      <c r="W16" s="6" t="s">
        <v>106</v>
      </c>
      <c r="X16" s="6" t="s">
        <v>41</v>
      </c>
      <c r="Y16" s="49" t="s">
        <v>123</v>
      </c>
      <c r="Z16" s="6" t="s">
        <v>37</v>
      </c>
      <c r="AA16" s="49" t="s">
        <v>113</v>
      </c>
    </row>
    <row r="17" spans="1:27" ht="16">
      <c r="A17" s="1">
        <v>20230301</v>
      </c>
      <c r="B17" s="1">
        <v>1</v>
      </c>
      <c r="C17" s="1">
        <v>0.5</v>
      </c>
      <c r="D17" s="1">
        <v>3</v>
      </c>
      <c r="E17" s="1" t="s">
        <v>149</v>
      </c>
      <c r="F17" s="1" t="str">
        <f t="shared" si="0"/>
        <v>1_0.5_3</v>
      </c>
      <c r="G17" s="1" t="str">
        <f t="shared" si="1"/>
        <v>20230301_0.5nM_Gate3</v>
      </c>
      <c r="H17" s="2" t="s">
        <v>8</v>
      </c>
      <c r="I17" s="1" t="str">
        <f t="shared" si="2"/>
        <v>20230301_5e-1nM_Gate3</v>
      </c>
      <c r="J17" t="str">
        <f t="shared" si="3"/>
        <v>MutLib_5e-1nM_miniHAPE</v>
      </c>
      <c r="K17" s="6" t="str">
        <f t="shared" si="4"/>
        <v>20230301; CR9114 m.l.; 0.5nM mHA-PE; G: 3</v>
      </c>
      <c r="L17" s="7">
        <v>16</v>
      </c>
      <c r="M17" s="7"/>
      <c r="N17" s="7">
        <v>16</v>
      </c>
      <c r="O17" s="22">
        <v>33.137999999999998</v>
      </c>
      <c r="P17" s="22">
        <f t="shared" si="5"/>
        <v>12.255199999999999</v>
      </c>
      <c r="Q17" s="28">
        <v>25634</v>
      </c>
      <c r="R17" s="43">
        <v>56.223999999999997</v>
      </c>
      <c r="T17" s="44">
        <f t="shared" si="6"/>
        <v>674.68799999999999</v>
      </c>
      <c r="U17" s="22">
        <f t="shared" si="7"/>
        <v>1.7785998861696073</v>
      </c>
      <c r="V17" s="7">
        <v>16</v>
      </c>
      <c r="W17" s="6" t="s">
        <v>106</v>
      </c>
      <c r="X17" s="6" t="s">
        <v>41</v>
      </c>
      <c r="Y17" s="49" t="s">
        <v>123</v>
      </c>
      <c r="Z17" s="6" t="s">
        <v>38</v>
      </c>
      <c r="AA17" s="49" t="s">
        <v>114</v>
      </c>
    </row>
    <row r="18" spans="1:27" ht="16">
      <c r="A18" s="1">
        <v>20230301</v>
      </c>
      <c r="B18" s="1">
        <v>1</v>
      </c>
      <c r="C18" s="1">
        <v>0.05</v>
      </c>
      <c r="D18" s="1" t="s">
        <v>18</v>
      </c>
      <c r="E18" s="1" t="s">
        <v>52</v>
      </c>
      <c r="F18" s="1" t="str">
        <f t="shared" si="0"/>
        <v>1_0.05_un</v>
      </c>
      <c r="G18" s="1" t="str">
        <f t="shared" si="1"/>
        <v>20230301_0.05nM_Gateun</v>
      </c>
      <c r="H18" s="2" t="s">
        <v>10</v>
      </c>
      <c r="I18" s="1" t="str">
        <f t="shared" si="2"/>
        <v>20230301_5e-2nM_Gateun</v>
      </c>
      <c r="J18" t="str">
        <f t="shared" si="3"/>
        <v>MutLib_5e-2nM_miniHAPE</v>
      </c>
      <c r="K18" s="6" t="str">
        <f t="shared" si="4"/>
        <v>20230301; CR9114 m.l.; 0.05nM mHA-PE; G: un</v>
      </c>
      <c r="L18" s="7">
        <v>17</v>
      </c>
      <c r="M18" s="7"/>
      <c r="N18" s="7">
        <v>17</v>
      </c>
      <c r="O18" s="22">
        <v>30.056000000000001</v>
      </c>
      <c r="P18" s="22">
        <f t="shared" si="5"/>
        <v>11.022400000000001</v>
      </c>
      <c r="Q18">
        <v>1298470</v>
      </c>
      <c r="R18" s="43">
        <v>45.738999999999997</v>
      </c>
      <c r="T18" s="44">
        <f t="shared" si="6"/>
        <v>548.86799999999994</v>
      </c>
      <c r="U18" s="22">
        <f t="shared" si="7"/>
        <v>2.1863180218194538</v>
      </c>
      <c r="V18" s="7">
        <v>17</v>
      </c>
      <c r="W18" s="6" t="s">
        <v>106</v>
      </c>
      <c r="X18" s="6" t="s">
        <v>42</v>
      </c>
      <c r="Y18" s="49" t="s">
        <v>125</v>
      </c>
      <c r="Z18" s="6" t="s">
        <v>31</v>
      </c>
      <c r="AA18" s="49" t="s">
        <v>107</v>
      </c>
    </row>
    <row r="19" spans="1:27" ht="16">
      <c r="A19" s="1">
        <v>20230301</v>
      </c>
      <c r="B19" s="1">
        <v>1</v>
      </c>
      <c r="C19" s="1">
        <v>0.05</v>
      </c>
      <c r="D19" s="1">
        <v>1</v>
      </c>
      <c r="E19" s="1" t="s">
        <v>147</v>
      </c>
      <c r="F19" s="1" t="str">
        <f t="shared" si="0"/>
        <v>1_0.05_1</v>
      </c>
      <c r="G19" s="1" t="str">
        <f t="shared" si="1"/>
        <v>20230301_0.05nM_Gate1</v>
      </c>
      <c r="H19" s="2" t="s">
        <v>10</v>
      </c>
      <c r="I19" s="1" t="str">
        <f t="shared" si="2"/>
        <v>20230301_5e-2nM_Gate1</v>
      </c>
      <c r="J19" t="str">
        <f t="shared" si="3"/>
        <v>MutLib_5e-2nM_miniHAPE</v>
      </c>
      <c r="K19" s="6" t="str">
        <f t="shared" si="4"/>
        <v>20230301; CR9114 m.l.; 0.05nM mHA-PE; G: 1</v>
      </c>
      <c r="L19" s="7">
        <v>18</v>
      </c>
      <c r="M19" s="7"/>
      <c r="N19" s="7">
        <v>18</v>
      </c>
      <c r="O19" s="22">
        <v>29.254000000000001</v>
      </c>
      <c r="P19" s="22">
        <f t="shared" si="5"/>
        <v>10.701600000000001</v>
      </c>
      <c r="Q19" s="28">
        <v>104598</v>
      </c>
      <c r="R19" s="43">
        <v>49.488999999999997</v>
      </c>
      <c r="T19" s="44">
        <f t="shared" si="6"/>
        <v>593.86799999999994</v>
      </c>
      <c r="U19" s="22">
        <f t="shared" si="7"/>
        <v>2.0206510537695248</v>
      </c>
      <c r="V19" s="7">
        <v>18</v>
      </c>
      <c r="W19" s="6" t="s">
        <v>106</v>
      </c>
      <c r="X19" s="6" t="s">
        <v>42</v>
      </c>
      <c r="Y19" s="49" t="s">
        <v>125</v>
      </c>
      <c r="Z19" s="6" t="s">
        <v>32</v>
      </c>
      <c r="AA19" s="49" t="s">
        <v>108</v>
      </c>
    </row>
    <row r="20" spans="1:27" ht="16">
      <c r="A20" s="1">
        <v>20230301</v>
      </c>
      <c r="B20" s="1">
        <v>1</v>
      </c>
      <c r="C20" s="1">
        <v>0.05</v>
      </c>
      <c r="D20" s="1">
        <v>2</v>
      </c>
      <c r="E20" s="1" t="s">
        <v>148</v>
      </c>
      <c r="F20" s="1" t="str">
        <f t="shared" si="0"/>
        <v>1_0.05_2</v>
      </c>
      <c r="G20" s="1" t="str">
        <f t="shared" si="1"/>
        <v>20230301_0.05nM_Gate2</v>
      </c>
      <c r="H20" s="2" t="s">
        <v>10</v>
      </c>
      <c r="I20" s="1" t="str">
        <f t="shared" si="2"/>
        <v>20230301_5e-2nM_Gate2</v>
      </c>
      <c r="J20" t="str">
        <f t="shared" si="3"/>
        <v>MutLib_5e-2nM_miniHAPE</v>
      </c>
      <c r="K20" s="6" t="str">
        <f t="shared" si="4"/>
        <v>20230301; CR9114 m.l.; 0.05nM mHA-PE; G: 2</v>
      </c>
      <c r="L20" s="7">
        <v>19</v>
      </c>
      <c r="M20" s="7"/>
      <c r="N20" s="7">
        <v>19</v>
      </c>
      <c r="O20" s="22">
        <v>19.885999999999999</v>
      </c>
      <c r="P20" s="22">
        <f t="shared" si="5"/>
        <v>6.9543999999999997</v>
      </c>
      <c r="Q20" s="28">
        <v>4102</v>
      </c>
      <c r="R20" s="43">
        <v>42.466000000000001</v>
      </c>
      <c r="T20" s="44">
        <f t="shared" si="6"/>
        <v>509.59199999999998</v>
      </c>
      <c r="U20" s="22">
        <f t="shared" si="7"/>
        <v>2.354825036499788</v>
      </c>
      <c r="V20" s="7">
        <v>19</v>
      </c>
      <c r="W20" s="6" t="s">
        <v>106</v>
      </c>
      <c r="X20" s="6" t="s">
        <v>42</v>
      </c>
      <c r="Y20" s="49" t="s">
        <v>125</v>
      </c>
      <c r="Z20" s="6" t="s">
        <v>33</v>
      </c>
      <c r="AA20" s="49" t="s">
        <v>109</v>
      </c>
    </row>
    <row r="21" spans="1:27" ht="16">
      <c r="A21" s="1">
        <v>20230301</v>
      </c>
      <c r="B21" s="1">
        <v>1</v>
      </c>
      <c r="C21" s="1">
        <v>0.05</v>
      </c>
      <c r="D21" s="1">
        <v>3</v>
      </c>
      <c r="E21" s="1" t="s">
        <v>149</v>
      </c>
      <c r="F21" s="1" t="str">
        <f t="shared" si="0"/>
        <v>1_0.05_3</v>
      </c>
      <c r="G21" s="1" t="str">
        <f t="shared" si="1"/>
        <v>20230301_0.05nM_Gate3</v>
      </c>
      <c r="H21" s="2" t="s">
        <v>10</v>
      </c>
      <c r="I21" s="1" t="str">
        <f t="shared" si="2"/>
        <v>20230301_5e-2nM_Gate3</v>
      </c>
      <c r="J21" t="str">
        <f t="shared" si="3"/>
        <v>MutLib_5e-2nM_miniHAPE</v>
      </c>
      <c r="K21" s="6" t="str">
        <f t="shared" si="4"/>
        <v>20230301; CR9114 m.l.; 0.05nM mHA-PE; G: 3</v>
      </c>
      <c r="L21" s="7">
        <v>20</v>
      </c>
      <c r="M21" s="7"/>
      <c r="N21" s="7">
        <v>20</v>
      </c>
      <c r="O21" s="22">
        <v>24.664000000000001</v>
      </c>
      <c r="P21" s="22">
        <f t="shared" si="5"/>
        <v>8.8656000000000006</v>
      </c>
      <c r="Q21" s="28">
        <v>25</v>
      </c>
      <c r="R21" s="43">
        <v>6.3890000000000002</v>
      </c>
      <c r="T21" s="44">
        <f t="shared" si="6"/>
        <v>76.668000000000006</v>
      </c>
      <c r="U21" s="22">
        <f t="shared" si="7"/>
        <v>15.651901706057286</v>
      </c>
      <c r="V21" s="7">
        <v>20</v>
      </c>
      <c r="W21" s="6" t="s">
        <v>106</v>
      </c>
      <c r="X21" s="6" t="s">
        <v>42</v>
      </c>
      <c r="Y21" s="49" t="s">
        <v>125</v>
      </c>
      <c r="Z21" s="6" t="s">
        <v>34</v>
      </c>
      <c r="AA21" s="49" t="s">
        <v>110</v>
      </c>
    </row>
    <row r="22" spans="1:27" ht="16">
      <c r="A22" s="1">
        <v>20230301</v>
      </c>
      <c r="B22" s="1">
        <v>1</v>
      </c>
      <c r="C22" s="1">
        <v>0.16</v>
      </c>
      <c r="D22" s="1" t="s">
        <v>18</v>
      </c>
      <c r="E22" s="1" t="s">
        <v>52</v>
      </c>
      <c r="F22" s="1" t="str">
        <f t="shared" si="0"/>
        <v>1_0.16_un</v>
      </c>
      <c r="G22" s="1" t="str">
        <f t="shared" si="1"/>
        <v>20230301_0.16nM_Gateun</v>
      </c>
      <c r="H22" s="2" t="s">
        <v>9</v>
      </c>
      <c r="I22" s="1" t="str">
        <f t="shared" si="2"/>
        <v>20230301_16e-2nM_Gateun</v>
      </c>
      <c r="J22" t="str">
        <f t="shared" si="3"/>
        <v>MutLib_16e-2nM_miniHAPE</v>
      </c>
      <c r="K22" s="6" t="str">
        <f t="shared" si="4"/>
        <v>20230301; CR9114 m.l.; 0.16nM mHA-PE; G: un</v>
      </c>
      <c r="L22" s="7">
        <v>21</v>
      </c>
      <c r="M22" s="7"/>
      <c r="N22" s="7">
        <v>21</v>
      </c>
      <c r="O22" s="22">
        <v>14.259</v>
      </c>
      <c r="P22" s="22">
        <f t="shared" si="5"/>
        <v>4.7035999999999998</v>
      </c>
      <c r="Q22">
        <v>1333490</v>
      </c>
      <c r="R22" s="43">
        <v>57.703000000000003</v>
      </c>
      <c r="T22" s="44">
        <f t="shared" si="6"/>
        <v>692.43600000000004</v>
      </c>
      <c r="U22" s="22">
        <f t="shared" si="7"/>
        <v>1.7330121484151604</v>
      </c>
      <c r="V22" s="7">
        <v>21</v>
      </c>
      <c r="W22" s="6" t="s">
        <v>106</v>
      </c>
      <c r="X22" s="6" t="s">
        <v>42</v>
      </c>
      <c r="Y22" s="49" t="s">
        <v>125</v>
      </c>
      <c r="Z22" s="6" t="s">
        <v>35</v>
      </c>
      <c r="AA22" s="49" t="s">
        <v>111</v>
      </c>
    </row>
    <row r="23" spans="1:27" ht="16">
      <c r="A23" s="1">
        <v>20230301</v>
      </c>
      <c r="B23" s="1">
        <v>1</v>
      </c>
      <c r="C23" s="1">
        <v>0.16</v>
      </c>
      <c r="D23" s="1">
        <v>1</v>
      </c>
      <c r="E23" s="1" t="s">
        <v>147</v>
      </c>
      <c r="F23" s="1" t="str">
        <f t="shared" si="0"/>
        <v>1_0.16_1</v>
      </c>
      <c r="G23" s="1" t="str">
        <f t="shared" si="1"/>
        <v>20230301_0.16nM_Gate1</v>
      </c>
      <c r="H23" s="2" t="s">
        <v>9</v>
      </c>
      <c r="I23" s="1" t="str">
        <f t="shared" si="2"/>
        <v>20230301_16e-2nM_Gate1</v>
      </c>
      <c r="J23" t="str">
        <f t="shared" si="3"/>
        <v>MutLib_16e-2nM_miniHAPE</v>
      </c>
      <c r="K23" s="6" t="str">
        <f t="shared" si="4"/>
        <v>20230301; CR9114 m.l.; 0.16nM mHA-PE; G: 1</v>
      </c>
      <c r="L23" s="7">
        <v>22</v>
      </c>
      <c r="M23" s="7"/>
      <c r="N23" s="7">
        <v>22</v>
      </c>
      <c r="O23" s="22">
        <v>58.313000000000002</v>
      </c>
      <c r="P23" s="22">
        <f t="shared" si="5"/>
        <v>22.325200000000002</v>
      </c>
      <c r="Q23" s="28">
        <v>165446</v>
      </c>
      <c r="R23" s="43">
        <v>51.749000000000002</v>
      </c>
      <c r="T23" s="44">
        <f t="shared" si="6"/>
        <v>620.98800000000006</v>
      </c>
      <c r="U23" s="22">
        <f t="shared" si="7"/>
        <v>1.9324044909080367</v>
      </c>
      <c r="V23" s="7">
        <v>22</v>
      </c>
      <c r="W23" s="6" t="s">
        <v>106</v>
      </c>
      <c r="X23" s="6" t="s">
        <v>42</v>
      </c>
      <c r="Y23" s="49" t="s">
        <v>125</v>
      </c>
      <c r="Z23" s="6" t="s">
        <v>36</v>
      </c>
      <c r="AA23" s="49" t="s">
        <v>112</v>
      </c>
    </row>
    <row r="24" spans="1:27" ht="16">
      <c r="A24" s="1">
        <v>20230301</v>
      </c>
      <c r="B24" s="1">
        <v>1</v>
      </c>
      <c r="C24" s="1">
        <v>0.16</v>
      </c>
      <c r="D24" s="1">
        <v>2</v>
      </c>
      <c r="E24" s="1" t="s">
        <v>148</v>
      </c>
      <c r="F24" s="1" t="str">
        <f t="shared" si="0"/>
        <v>1_0.16_2</v>
      </c>
      <c r="G24" s="1" t="str">
        <f t="shared" si="1"/>
        <v>20230301_0.16nM_Gate2</v>
      </c>
      <c r="H24" s="2" t="s">
        <v>9</v>
      </c>
      <c r="I24" s="1" t="str">
        <f t="shared" si="2"/>
        <v>20230301_16e-2nM_Gate2</v>
      </c>
      <c r="J24" t="str">
        <f t="shared" si="3"/>
        <v>MutLib_16e-2nM_miniHAPE</v>
      </c>
      <c r="K24" s="6" t="str">
        <f t="shared" si="4"/>
        <v>20230301; CR9114 m.l.; 0.16nM mHA-PE; G: 2</v>
      </c>
      <c r="L24" s="7">
        <v>23</v>
      </c>
      <c r="M24" s="7"/>
      <c r="N24" s="7">
        <v>23</v>
      </c>
      <c r="O24" s="22">
        <v>25.341999999999999</v>
      </c>
      <c r="P24" s="22">
        <f>(O24/2.5)-1</f>
        <v>9.1367999999999991</v>
      </c>
      <c r="Q24" s="28">
        <v>64772</v>
      </c>
      <c r="R24" s="43">
        <v>44.171999999999997</v>
      </c>
      <c r="T24" s="44">
        <f t="shared" si="6"/>
        <v>530.06399999999996</v>
      </c>
      <c r="U24" s="22">
        <f t="shared" si="7"/>
        <v>2.2638775695010414</v>
      </c>
      <c r="V24" s="7">
        <v>23</v>
      </c>
      <c r="W24" s="6" t="s">
        <v>106</v>
      </c>
      <c r="X24" s="6" t="s">
        <v>42</v>
      </c>
      <c r="Y24" s="49" t="s">
        <v>125</v>
      </c>
      <c r="Z24" s="6" t="s">
        <v>37</v>
      </c>
      <c r="AA24" s="49" t="s">
        <v>113</v>
      </c>
    </row>
    <row r="25" spans="1:27" ht="16">
      <c r="A25" s="1">
        <v>20230301</v>
      </c>
      <c r="B25" s="1">
        <v>1</v>
      </c>
      <c r="C25" s="1">
        <v>0.16</v>
      </c>
      <c r="D25" s="1">
        <v>3</v>
      </c>
      <c r="E25" s="1" t="s">
        <v>149</v>
      </c>
      <c r="F25" s="1" t="str">
        <f t="shared" si="0"/>
        <v>1_0.16_3</v>
      </c>
      <c r="G25" s="1" t="str">
        <f t="shared" si="1"/>
        <v>20230301_0.16nM_Gate3</v>
      </c>
      <c r="H25" s="2" t="s">
        <v>9</v>
      </c>
      <c r="I25" s="1" t="str">
        <f t="shared" si="2"/>
        <v>20230301_16e-2nM_Gate3</v>
      </c>
      <c r="J25" t="str">
        <f t="shared" si="3"/>
        <v>MutLib_16e-2nM_miniHAPE</v>
      </c>
      <c r="K25" s="6" t="str">
        <f t="shared" si="4"/>
        <v>20230301; CR9114 m.l.; 0.16nM mHA-PE; G: 3</v>
      </c>
      <c r="L25" s="7">
        <v>24</v>
      </c>
      <c r="M25" s="7"/>
      <c r="N25" s="7">
        <v>24</v>
      </c>
      <c r="O25" s="22">
        <v>15.548999999999999</v>
      </c>
      <c r="P25" s="22">
        <f t="shared" si="5"/>
        <v>5.2195999999999998</v>
      </c>
      <c r="Q25" s="28">
        <v>632</v>
      </c>
      <c r="R25" s="43">
        <v>24.361000000000001</v>
      </c>
      <c r="T25" s="44">
        <f t="shared" si="6"/>
        <v>292.33199999999999</v>
      </c>
      <c r="U25" s="22">
        <f t="shared" si="7"/>
        <v>4.1049218012396862</v>
      </c>
      <c r="V25" s="7">
        <v>24</v>
      </c>
      <c r="W25" s="6" t="s">
        <v>106</v>
      </c>
      <c r="X25" s="6" t="s">
        <v>42</v>
      </c>
      <c r="Y25" s="49" t="s">
        <v>125</v>
      </c>
      <c r="Z25" s="6" t="s">
        <v>38</v>
      </c>
      <c r="AA25" s="49" t="s">
        <v>114</v>
      </c>
    </row>
    <row r="26" spans="1:27" ht="16">
      <c r="A26" s="1">
        <v>20230301</v>
      </c>
      <c r="B26" s="1">
        <v>1</v>
      </c>
      <c r="C26" s="1">
        <v>5.0000000000000001E-3</v>
      </c>
      <c r="D26" s="1" t="s">
        <v>18</v>
      </c>
      <c r="E26" s="1" t="s">
        <v>52</v>
      </c>
      <c r="F26" s="1" t="str">
        <f t="shared" si="0"/>
        <v>1_0.005_un</v>
      </c>
      <c r="G26" s="1" t="str">
        <f t="shared" si="1"/>
        <v>20230301_0.005nM_Gateun</v>
      </c>
      <c r="H26" s="2" t="s">
        <v>12</v>
      </c>
      <c r="I26" s="1" t="str">
        <f t="shared" si="2"/>
        <v>20230301_5e-3nM_Gateun</v>
      </c>
      <c r="J26" t="str">
        <f t="shared" si="3"/>
        <v>MutLib_5e-3nM_miniHAPE</v>
      </c>
      <c r="K26" s="6" t="str">
        <f t="shared" si="4"/>
        <v>20230301; CR9114 m.l.; 0.005nM mHA-PE; G: un</v>
      </c>
      <c r="L26" s="7">
        <v>25</v>
      </c>
      <c r="M26" s="7"/>
      <c r="N26" s="7">
        <v>25</v>
      </c>
      <c r="O26" s="22">
        <v>18.327999999999999</v>
      </c>
      <c r="P26" s="22">
        <f t="shared" si="5"/>
        <v>6.3311999999999999</v>
      </c>
      <c r="Q26">
        <v>1480487</v>
      </c>
      <c r="R26" s="43">
        <v>45.097000000000001</v>
      </c>
      <c r="T26" s="44">
        <f t="shared" si="6"/>
        <v>541.16399999999999</v>
      </c>
      <c r="U26" s="22">
        <f t="shared" si="7"/>
        <v>2.2174424019336096</v>
      </c>
      <c r="V26" s="7">
        <v>25</v>
      </c>
      <c r="W26" s="6" t="s">
        <v>106</v>
      </c>
      <c r="X26" s="6" t="s">
        <v>43</v>
      </c>
      <c r="Y26" s="49" t="s">
        <v>127</v>
      </c>
      <c r="Z26" s="6" t="s">
        <v>31</v>
      </c>
      <c r="AA26" s="49" t="s">
        <v>107</v>
      </c>
    </row>
    <row r="27" spans="1:27" ht="16">
      <c r="A27" s="1">
        <v>20230301</v>
      </c>
      <c r="B27" s="1">
        <v>1</v>
      </c>
      <c r="C27" s="1">
        <v>5.0000000000000001E-3</v>
      </c>
      <c r="D27" s="1">
        <v>1</v>
      </c>
      <c r="E27" s="1" t="s">
        <v>147</v>
      </c>
      <c r="F27" s="1" t="str">
        <f t="shared" si="0"/>
        <v>1_0.005_1</v>
      </c>
      <c r="G27" s="1" t="str">
        <f t="shared" si="1"/>
        <v>20230301_0.005nM_Gate1</v>
      </c>
      <c r="H27" s="2" t="s">
        <v>12</v>
      </c>
      <c r="I27" s="1" t="str">
        <f t="shared" si="2"/>
        <v>20230301_5e-3nM_Gate1</v>
      </c>
      <c r="J27" t="str">
        <f t="shared" si="3"/>
        <v>MutLib_5e-3nM_miniHAPE</v>
      </c>
      <c r="K27" s="6" t="str">
        <f t="shared" si="4"/>
        <v>20230301; CR9114 m.l.; 0.005nM mHA-PE; G: 1</v>
      </c>
      <c r="L27" s="7">
        <v>26</v>
      </c>
      <c r="M27" s="7"/>
      <c r="N27" s="26">
        <v>26</v>
      </c>
      <c r="O27" s="27">
        <v>60.7</v>
      </c>
      <c r="P27" s="22">
        <f t="shared" si="5"/>
        <v>23.28</v>
      </c>
      <c r="Q27" s="28">
        <v>5651</v>
      </c>
      <c r="R27" s="43">
        <v>23.850999999999999</v>
      </c>
      <c r="T27" s="44">
        <f t="shared" si="6"/>
        <v>286.21199999999999</v>
      </c>
      <c r="U27" s="22">
        <f t="shared" si="7"/>
        <v>4.1926963230053245</v>
      </c>
      <c r="V27" s="7">
        <v>26</v>
      </c>
      <c r="W27" s="6" t="s">
        <v>106</v>
      </c>
      <c r="X27" s="6" t="s">
        <v>43</v>
      </c>
      <c r="Y27" s="49" t="s">
        <v>127</v>
      </c>
      <c r="Z27" s="6" t="s">
        <v>32</v>
      </c>
      <c r="AA27" s="49" t="s">
        <v>108</v>
      </c>
    </row>
    <row r="28" spans="1:27" ht="16">
      <c r="A28" s="1">
        <v>20230301</v>
      </c>
      <c r="B28" s="1">
        <v>1</v>
      </c>
      <c r="C28" s="1">
        <v>5.0000000000000001E-3</v>
      </c>
      <c r="D28" s="1">
        <v>2</v>
      </c>
      <c r="E28" s="1" t="s">
        <v>148</v>
      </c>
      <c r="F28" s="1" t="str">
        <f t="shared" si="0"/>
        <v>1_0.005_2</v>
      </c>
      <c r="G28" s="1" t="str">
        <f t="shared" si="1"/>
        <v>20230301_0.005nM_Gate2</v>
      </c>
      <c r="H28" s="2" t="s">
        <v>12</v>
      </c>
      <c r="I28" s="1" t="str">
        <f t="shared" si="2"/>
        <v>20230301_5e-3nM_Gate2</v>
      </c>
      <c r="J28" t="str">
        <f t="shared" si="3"/>
        <v>MutLib_5e-3nM_miniHAPE</v>
      </c>
      <c r="K28" s="6" t="str">
        <f t="shared" si="4"/>
        <v>20230301; CR9114 m.l.; 0.005nM mHA-PE; G: 2</v>
      </c>
      <c r="L28" s="7">
        <v>27</v>
      </c>
      <c r="M28" s="7"/>
      <c r="N28" s="26">
        <v>27</v>
      </c>
      <c r="O28" s="27">
        <v>41.4</v>
      </c>
      <c r="P28" s="22">
        <f t="shared" si="5"/>
        <v>15.559999999999999</v>
      </c>
      <c r="Q28">
        <v>21</v>
      </c>
      <c r="R28" s="43">
        <v>17.013999999999999</v>
      </c>
      <c r="T28" s="44">
        <f t="shared" si="6"/>
        <v>204.16800000000001</v>
      </c>
      <c r="U28" s="22">
        <f t="shared" si="7"/>
        <v>5.8775126366521686</v>
      </c>
      <c r="V28" s="7">
        <v>27</v>
      </c>
      <c r="W28" s="6" t="s">
        <v>106</v>
      </c>
      <c r="X28" s="6" t="s">
        <v>43</v>
      </c>
      <c r="Y28" s="49" t="s">
        <v>127</v>
      </c>
      <c r="Z28" s="6" t="s">
        <v>33</v>
      </c>
      <c r="AA28" s="49" t="s">
        <v>109</v>
      </c>
    </row>
    <row r="29" spans="1:27" ht="16">
      <c r="A29" s="1">
        <v>20230301</v>
      </c>
      <c r="B29" s="1">
        <v>1</v>
      </c>
      <c r="C29" s="1">
        <v>5.0000000000000001E-3</v>
      </c>
      <c r="D29" s="1">
        <v>3</v>
      </c>
      <c r="E29" s="1" t="s">
        <v>149</v>
      </c>
      <c r="F29" s="1" t="str">
        <f t="shared" si="0"/>
        <v>1_0.005_3</v>
      </c>
      <c r="G29" s="1" t="str">
        <f t="shared" si="1"/>
        <v>20230301_0.005nM_Gate3</v>
      </c>
      <c r="H29" s="2" t="s">
        <v>12</v>
      </c>
      <c r="I29" s="1" t="str">
        <f t="shared" si="2"/>
        <v>20230301_5e-3nM_Gate3</v>
      </c>
      <c r="J29" t="str">
        <f t="shared" si="3"/>
        <v>MutLib_5e-3nM_miniHAPE</v>
      </c>
      <c r="K29" s="6" t="str">
        <f t="shared" si="4"/>
        <v>20230301; CR9114 m.l.; 0.005nM mHA-PE; G: 3</v>
      </c>
      <c r="L29" s="7">
        <v>28</v>
      </c>
      <c r="M29" s="7"/>
      <c r="N29" s="7">
        <v>28</v>
      </c>
      <c r="O29" s="22">
        <v>18.215</v>
      </c>
      <c r="P29" s="22">
        <f t="shared" si="5"/>
        <v>6.2859999999999996</v>
      </c>
      <c r="Q29" s="12">
        <v>7</v>
      </c>
      <c r="R29" s="43">
        <v>35.749000000000002</v>
      </c>
      <c r="T29" s="44">
        <f>R29*12</f>
        <v>428.98800000000006</v>
      </c>
      <c r="U29" s="22">
        <f t="shared" si="7"/>
        <v>2.7972810428263726</v>
      </c>
      <c r="V29" s="7">
        <v>28</v>
      </c>
      <c r="W29" s="6" t="s">
        <v>106</v>
      </c>
      <c r="X29" s="6" t="s">
        <v>43</v>
      </c>
      <c r="Y29" s="49" t="s">
        <v>127</v>
      </c>
      <c r="Z29" s="6" t="s">
        <v>34</v>
      </c>
      <c r="AA29" s="49" t="s">
        <v>110</v>
      </c>
    </row>
    <row r="30" spans="1:27" ht="16">
      <c r="A30" s="1">
        <v>20230301</v>
      </c>
      <c r="B30" s="1">
        <v>1</v>
      </c>
      <c r="C30" s="1">
        <v>1.6E-2</v>
      </c>
      <c r="D30" s="1" t="s">
        <v>18</v>
      </c>
      <c r="E30" s="1" t="s">
        <v>52</v>
      </c>
      <c r="F30" s="1" t="str">
        <f t="shared" si="0"/>
        <v>1_0.016_un</v>
      </c>
      <c r="G30" s="1" t="str">
        <f t="shared" si="1"/>
        <v>20230301_0.016nM_Gateun</v>
      </c>
      <c r="H30" s="2" t="s">
        <v>11</v>
      </c>
      <c r="I30" s="1" t="str">
        <f t="shared" si="2"/>
        <v>20230301_16e-3nM_Gateun</v>
      </c>
      <c r="J30" t="str">
        <f t="shared" si="3"/>
        <v>MutLib_16e-3nM_miniHAPE</v>
      </c>
      <c r="K30" s="6" t="str">
        <f t="shared" si="4"/>
        <v>20230301; CR9114 m.l.; 0.016nM mHA-PE; G: un</v>
      </c>
      <c r="L30" s="7">
        <v>29</v>
      </c>
      <c r="M30" s="7"/>
      <c r="N30" s="7">
        <v>29</v>
      </c>
      <c r="O30" s="22">
        <v>46.96</v>
      </c>
      <c r="P30" s="22">
        <f t="shared" si="5"/>
        <v>17.783999999999999</v>
      </c>
      <c r="Q30" s="12">
        <v>1871331</v>
      </c>
      <c r="R30" s="43">
        <v>54.661999999999999</v>
      </c>
      <c r="T30" s="44">
        <f t="shared" si="6"/>
        <v>655.94399999999996</v>
      </c>
      <c r="U30" s="22">
        <f t="shared" si="7"/>
        <v>1.82942446306392</v>
      </c>
      <c r="V30" s="7">
        <v>29</v>
      </c>
      <c r="W30" s="6" t="s">
        <v>106</v>
      </c>
      <c r="X30" s="6" t="s">
        <v>43</v>
      </c>
      <c r="Y30" s="49" t="s">
        <v>127</v>
      </c>
      <c r="Z30" s="6" t="s">
        <v>35</v>
      </c>
      <c r="AA30" s="49" t="s">
        <v>111</v>
      </c>
    </row>
    <row r="31" spans="1:27" ht="16">
      <c r="A31" s="1">
        <v>20230301</v>
      </c>
      <c r="B31" s="1">
        <v>1</v>
      </c>
      <c r="C31" s="1">
        <v>1.6E-2</v>
      </c>
      <c r="D31" s="1">
        <v>1</v>
      </c>
      <c r="E31" s="1" t="s">
        <v>147</v>
      </c>
      <c r="F31" s="1" t="str">
        <f t="shared" si="0"/>
        <v>1_0.016_1</v>
      </c>
      <c r="G31" s="1" t="str">
        <f t="shared" si="1"/>
        <v>20230301_0.016nM_Gate1</v>
      </c>
      <c r="H31" s="2" t="s">
        <v>11</v>
      </c>
      <c r="I31" s="1" t="str">
        <f t="shared" si="2"/>
        <v>20230301_16e-3nM_Gate1</v>
      </c>
      <c r="J31" t="str">
        <f t="shared" si="3"/>
        <v>MutLib_16e-3nM_miniHAPE</v>
      </c>
      <c r="K31" s="6" t="str">
        <f t="shared" si="4"/>
        <v>20230301; CR9114 m.l.; 0.016nM mHA-PE; G: 1</v>
      </c>
      <c r="L31" s="7">
        <v>30</v>
      </c>
      <c r="M31" s="7"/>
      <c r="N31" s="7">
        <v>30</v>
      </c>
      <c r="O31" s="22">
        <v>42.122</v>
      </c>
      <c r="P31" s="22">
        <f t="shared" si="5"/>
        <v>15.848800000000001</v>
      </c>
      <c r="Q31" s="12">
        <v>36971</v>
      </c>
      <c r="R31" s="43">
        <v>50.454000000000001</v>
      </c>
      <c r="T31" s="44">
        <f t="shared" si="6"/>
        <v>605.44799999999998</v>
      </c>
      <c r="U31" s="22">
        <f t="shared" si="7"/>
        <v>1.9820034090458636</v>
      </c>
      <c r="V31" s="7">
        <v>30</v>
      </c>
      <c r="W31" s="6" t="s">
        <v>106</v>
      </c>
      <c r="X31" s="6" t="s">
        <v>43</v>
      </c>
      <c r="Y31" s="49" t="s">
        <v>127</v>
      </c>
      <c r="Z31" s="6" t="s">
        <v>36</v>
      </c>
      <c r="AA31" s="49" t="s">
        <v>112</v>
      </c>
    </row>
    <row r="32" spans="1:27" ht="16">
      <c r="A32" s="1">
        <v>20230301</v>
      </c>
      <c r="B32" s="1">
        <v>1</v>
      </c>
      <c r="C32" s="1">
        <v>1.6E-2</v>
      </c>
      <c r="D32" s="1">
        <v>2</v>
      </c>
      <c r="E32" s="1" t="s">
        <v>148</v>
      </c>
      <c r="F32" s="1" t="str">
        <f t="shared" si="0"/>
        <v>1_0.016_2</v>
      </c>
      <c r="G32" s="1" t="str">
        <f t="shared" si="1"/>
        <v>20230301_0.016nM_Gate2</v>
      </c>
      <c r="H32" s="2" t="s">
        <v>11</v>
      </c>
      <c r="I32" s="1" t="str">
        <f t="shared" si="2"/>
        <v>20230301_16e-3nM_Gate2</v>
      </c>
      <c r="J32" t="str">
        <f t="shared" si="3"/>
        <v>MutLib_16e-3nM_miniHAPE</v>
      </c>
      <c r="K32" s="6" t="str">
        <f t="shared" si="4"/>
        <v>20230301; CR9114 m.l.; 0.016nM mHA-PE; G: 2</v>
      </c>
      <c r="L32" s="7">
        <v>31</v>
      </c>
      <c r="M32" s="7"/>
      <c r="N32" s="7">
        <v>31</v>
      </c>
      <c r="O32" s="22">
        <v>16.966000000000001</v>
      </c>
      <c r="P32" s="22">
        <f t="shared" si="5"/>
        <v>5.7864000000000004</v>
      </c>
      <c r="Q32" s="12">
        <v>47</v>
      </c>
      <c r="R32" s="43">
        <v>22.016999999999999</v>
      </c>
      <c r="T32" s="44">
        <f t="shared" si="6"/>
        <v>264.20400000000001</v>
      </c>
      <c r="U32" s="22">
        <f t="shared" si="7"/>
        <v>4.54194486078939</v>
      </c>
      <c r="V32" s="7">
        <v>31</v>
      </c>
      <c r="W32" s="6" t="s">
        <v>106</v>
      </c>
      <c r="X32" s="6" t="s">
        <v>43</v>
      </c>
      <c r="Y32" s="49" t="s">
        <v>127</v>
      </c>
      <c r="Z32" s="6" t="s">
        <v>37</v>
      </c>
      <c r="AA32" s="49" t="s">
        <v>113</v>
      </c>
    </row>
    <row r="33" spans="1:27" ht="16">
      <c r="A33" s="1">
        <v>20230301</v>
      </c>
      <c r="B33" s="1">
        <v>1</v>
      </c>
      <c r="C33" s="1">
        <v>1.6E-2</v>
      </c>
      <c r="D33" s="1">
        <v>3</v>
      </c>
      <c r="E33" s="1" t="s">
        <v>149</v>
      </c>
      <c r="F33" s="1" t="str">
        <f t="shared" si="0"/>
        <v>1_0.016_3</v>
      </c>
      <c r="G33" s="1" t="str">
        <f t="shared" si="1"/>
        <v>20230301_0.016nM_Gate3</v>
      </c>
      <c r="H33" s="2" t="s">
        <v>11</v>
      </c>
      <c r="I33" s="1" t="str">
        <f t="shared" si="2"/>
        <v>20230301_16e-3nM_Gate3</v>
      </c>
      <c r="J33" t="str">
        <f t="shared" si="3"/>
        <v>MutLib_16e-3nM_miniHAPE</v>
      </c>
      <c r="K33" s="6" t="str">
        <f t="shared" si="4"/>
        <v>20230301; CR9114 m.l.; 0.016nM mHA-PE; G: 3</v>
      </c>
      <c r="L33" s="7">
        <v>32</v>
      </c>
      <c r="M33" s="7"/>
      <c r="N33" s="26">
        <v>32</v>
      </c>
      <c r="O33" s="27">
        <v>35.700000000000003</v>
      </c>
      <c r="P33" s="22">
        <f t="shared" si="5"/>
        <v>13.280000000000001</v>
      </c>
      <c r="Q33">
        <v>9</v>
      </c>
      <c r="R33" s="43">
        <v>7.7919999999999998</v>
      </c>
      <c r="T33" s="44">
        <f t="shared" si="6"/>
        <v>93.503999999999991</v>
      </c>
      <c r="U33" s="22">
        <f t="shared" si="7"/>
        <v>12.833675564681725</v>
      </c>
      <c r="V33" s="7">
        <v>32</v>
      </c>
      <c r="W33" s="6" t="s">
        <v>106</v>
      </c>
      <c r="X33" s="6" t="s">
        <v>43</v>
      </c>
      <c r="Y33" s="49" t="s">
        <v>127</v>
      </c>
      <c r="Z33" s="6" t="s">
        <v>38</v>
      </c>
      <c r="AA33" s="49" t="s">
        <v>114</v>
      </c>
    </row>
    <row r="34" spans="1:27" ht="16">
      <c r="A34" s="1">
        <v>20230301</v>
      </c>
      <c r="B34" s="1">
        <v>1</v>
      </c>
      <c r="C34" s="1" t="s">
        <v>14</v>
      </c>
      <c r="D34" s="1" t="s">
        <v>18</v>
      </c>
      <c r="E34" s="1" t="s">
        <v>52</v>
      </c>
      <c r="F34" s="1" t="str">
        <f t="shared" ref="F34:F65" si="8">CONCATENATE(B34,"_",C34,"_",D34)</f>
        <v>1_Hatag_un</v>
      </c>
      <c r="G34" s="1" t="str">
        <f t="shared" ref="G34:G41" si="9">CONCATENATE(A34,"_",C34,"_Gate",D34)</f>
        <v>20230301_Hatag_Gateun</v>
      </c>
      <c r="H34" s="2"/>
      <c r="I34" s="1" t="str">
        <f t="shared" ref="I34:I41" si="10">CONCATENATE(A34,"_",C34,"_Gate",D34)</f>
        <v>20230301_Hatag_Gateun</v>
      </c>
      <c r="J34" t="str">
        <f t="shared" ref="J34:J41" si="11">CONCATENATE("MutLib_",C34,"_miniHAPE")</f>
        <v>MutLib_Hatag_miniHAPE</v>
      </c>
      <c r="K34" s="6" t="str">
        <f t="shared" ref="K34:K41" si="12">CONCATENATE(A34,"; CR9114 m.l.; ",C34,"; G: ",D34)</f>
        <v>20230301; CR9114 m.l.; Hatag; G: un</v>
      </c>
      <c r="L34" s="7">
        <v>33</v>
      </c>
      <c r="M34" s="7"/>
      <c r="N34" s="7">
        <v>33</v>
      </c>
      <c r="O34" s="22">
        <v>18.547999999999998</v>
      </c>
      <c r="P34" s="22">
        <f>(O34/2.5)-1</f>
        <v>6.4191999999999991</v>
      </c>
      <c r="Q34">
        <v>718458</v>
      </c>
      <c r="R34" s="43">
        <v>34.01</v>
      </c>
      <c r="T34" s="44">
        <f t="shared" si="6"/>
        <v>408.12</v>
      </c>
      <c r="U34" s="22">
        <f t="shared" si="7"/>
        <v>2.9403116730373422</v>
      </c>
      <c r="V34" s="7">
        <v>33</v>
      </c>
      <c r="W34" s="6" t="s">
        <v>106</v>
      </c>
      <c r="X34" s="6" t="s">
        <v>44</v>
      </c>
      <c r="Y34" s="49" t="s">
        <v>129</v>
      </c>
      <c r="Z34" s="6" t="s">
        <v>31</v>
      </c>
      <c r="AA34" s="49" t="s">
        <v>107</v>
      </c>
    </row>
    <row r="35" spans="1:27" ht="16">
      <c r="A35" s="1">
        <v>20230301</v>
      </c>
      <c r="B35" s="1">
        <v>1</v>
      </c>
      <c r="C35" s="1" t="s">
        <v>14</v>
      </c>
      <c r="D35" s="1">
        <v>1</v>
      </c>
      <c r="E35" s="1" t="s">
        <v>147</v>
      </c>
      <c r="F35" s="1" t="str">
        <f t="shared" si="8"/>
        <v>1_Hatag_1</v>
      </c>
      <c r="G35" s="1" t="str">
        <f t="shared" si="9"/>
        <v>20230301_Hatag_Gate1</v>
      </c>
      <c r="H35" s="2"/>
      <c r="I35" s="1" t="str">
        <f t="shared" si="10"/>
        <v>20230301_Hatag_Gate1</v>
      </c>
      <c r="J35" t="str">
        <f t="shared" si="11"/>
        <v>MutLib_Hatag_miniHAPE</v>
      </c>
      <c r="K35" s="6" t="str">
        <f t="shared" si="12"/>
        <v>20230301; CR9114 m.l.; Hatag; G: 1</v>
      </c>
      <c r="L35" s="7">
        <v>34</v>
      </c>
      <c r="M35" s="7"/>
      <c r="N35" s="7">
        <v>34</v>
      </c>
      <c r="O35" s="22">
        <v>21.599</v>
      </c>
      <c r="P35" s="22">
        <f t="shared" si="5"/>
        <v>7.6395999999999997</v>
      </c>
      <c r="Q35" s="28">
        <v>132541</v>
      </c>
      <c r="R35" s="43">
        <v>43.085999999999999</v>
      </c>
      <c r="T35" s="44">
        <f t="shared" si="6"/>
        <v>517.03199999999993</v>
      </c>
      <c r="U35" s="22">
        <f t="shared" si="7"/>
        <v>2.320939516316205</v>
      </c>
      <c r="V35" s="7">
        <v>34</v>
      </c>
      <c r="W35" s="6" t="s">
        <v>106</v>
      </c>
      <c r="X35" s="6" t="s">
        <v>44</v>
      </c>
      <c r="Y35" s="49" t="s">
        <v>129</v>
      </c>
      <c r="Z35" s="6" t="s">
        <v>32</v>
      </c>
      <c r="AA35" s="49" t="s">
        <v>108</v>
      </c>
    </row>
    <row r="36" spans="1:27" ht="16">
      <c r="A36" s="1">
        <v>20230301</v>
      </c>
      <c r="B36" s="1">
        <v>1</v>
      </c>
      <c r="C36" s="1" t="s">
        <v>14</v>
      </c>
      <c r="D36" s="1">
        <v>2</v>
      </c>
      <c r="E36" s="1" t="s">
        <v>148</v>
      </c>
      <c r="F36" s="1" t="str">
        <f t="shared" si="8"/>
        <v>1_Hatag_2</v>
      </c>
      <c r="G36" s="1" t="str">
        <f t="shared" si="9"/>
        <v>20230301_Hatag_Gate2</v>
      </c>
      <c r="H36" s="2"/>
      <c r="I36" s="1" t="str">
        <f t="shared" si="10"/>
        <v>20230301_Hatag_Gate2</v>
      </c>
      <c r="J36" t="str">
        <f t="shared" si="11"/>
        <v>MutLib_Hatag_miniHAPE</v>
      </c>
      <c r="K36" s="6" t="str">
        <f t="shared" si="12"/>
        <v>20230301; CR9114 m.l.; Hatag; G: 2</v>
      </c>
      <c r="L36" s="7">
        <v>35</v>
      </c>
      <c r="M36" s="7"/>
      <c r="N36" s="7">
        <v>35</v>
      </c>
      <c r="O36" s="22">
        <v>23.690999999999999</v>
      </c>
      <c r="P36" s="22">
        <f t="shared" si="5"/>
        <v>8.4763999999999999</v>
      </c>
      <c r="Q36" s="28">
        <v>353427</v>
      </c>
      <c r="R36" s="43">
        <v>47.932000000000002</v>
      </c>
      <c r="T36" s="44">
        <f t="shared" si="6"/>
        <v>575.18399999999997</v>
      </c>
      <c r="U36" s="22">
        <f t="shared" si="7"/>
        <v>2.0862889092881582</v>
      </c>
      <c r="V36" s="7">
        <v>35</v>
      </c>
      <c r="W36" s="6" t="s">
        <v>106</v>
      </c>
      <c r="X36" s="6" t="s">
        <v>44</v>
      </c>
      <c r="Y36" s="49" t="s">
        <v>129</v>
      </c>
      <c r="Z36" s="6" t="s">
        <v>33</v>
      </c>
      <c r="AA36" s="49" t="s">
        <v>109</v>
      </c>
    </row>
    <row r="37" spans="1:27" ht="16">
      <c r="A37" s="1">
        <v>20230301</v>
      </c>
      <c r="B37" s="1">
        <v>1</v>
      </c>
      <c r="C37" s="1" t="s">
        <v>14</v>
      </c>
      <c r="D37" s="1">
        <v>3</v>
      </c>
      <c r="E37" s="1" t="s">
        <v>149</v>
      </c>
      <c r="F37" s="1" t="str">
        <f t="shared" si="8"/>
        <v>1_Hatag_3</v>
      </c>
      <c r="G37" s="1" t="str">
        <f t="shared" si="9"/>
        <v>20230301_Hatag_Gate3</v>
      </c>
      <c r="H37" s="2"/>
      <c r="I37" s="1" t="str">
        <f t="shared" si="10"/>
        <v>20230301_Hatag_Gate3</v>
      </c>
      <c r="J37" t="str">
        <f t="shared" si="11"/>
        <v>MutLib_Hatag_miniHAPE</v>
      </c>
      <c r="K37" s="6" t="str">
        <f t="shared" si="12"/>
        <v>20230301; CR9114 m.l.; Hatag; G: 3</v>
      </c>
      <c r="L37" s="7">
        <v>36</v>
      </c>
      <c r="M37" s="7"/>
      <c r="N37" s="7">
        <v>36</v>
      </c>
      <c r="O37" s="22">
        <v>43.280999999999999</v>
      </c>
      <c r="P37" s="22">
        <f t="shared" si="5"/>
        <v>16.3124</v>
      </c>
      <c r="Q37" s="28">
        <v>327123</v>
      </c>
      <c r="R37" s="43">
        <v>60.374000000000002</v>
      </c>
      <c r="T37" s="44">
        <f t="shared" si="6"/>
        <v>724.48800000000006</v>
      </c>
      <c r="U37" s="22">
        <f t="shared" si="7"/>
        <v>1.6563421340312054</v>
      </c>
      <c r="V37" s="7">
        <v>36</v>
      </c>
      <c r="W37" s="6" t="s">
        <v>106</v>
      </c>
      <c r="X37" s="6" t="s">
        <v>44</v>
      </c>
      <c r="Y37" s="49" t="s">
        <v>129</v>
      </c>
      <c r="Z37" s="6" t="s">
        <v>34</v>
      </c>
      <c r="AA37" s="49" t="s">
        <v>110</v>
      </c>
    </row>
    <row r="38" spans="1:27" ht="16">
      <c r="A38" s="1">
        <v>20230301</v>
      </c>
      <c r="B38" s="1">
        <v>1</v>
      </c>
      <c r="C38" s="1" t="s">
        <v>13</v>
      </c>
      <c r="D38" s="1" t="s">
        <v>18</v>
      </c>
      <c r="E38" s="1" t="s">
        <v>52</v>
      </c>
      <c r="F38" s="1" t="str">
        <f t="shared" si="8"/>
        <v>1_negative_un</v>
      </c>
      <c r="G38" s="1" t="str">
        <f t="shared" si="9"/>
        <v>20230301_negative_Gateun</v>
      </c>
      <c r="H38" s="2"/>
      <c r="I38" s="1" t="str">
        <f t="shared" si="10"/>
        <v>20230301_negative_Gateun</v>
      </c>
      <c r="J38" t="str">
        <f t="shared" si="11"/>
        <v>MutLib_negative_miniHAPE</v>
      </c>
      <c r="K38" s="6" t="str">
        <f t="shared" si="12"/>
        <v>20230301; CR9114 m.l.; negative; G: un</v>
      </c>
      <c r="L38" s="7">
        <v>37</v>
      </c>
      <c r="M38" s="7"/>
      <c r="N38" s="7">
        <v>37</v>
      </c>
      <c r="O38" s="22">
        <v>42.893999999999998</v>
      </c>
      <c r="P38" s="22">
        <f t="shared" si="5"/>
        <v>16.157599999999999</v>
      </c>
      <c r="Q38">
        <v>1388558</v>
      </c>
      <c r="R38" s="43">
        <v>52.112000000000002</v>
      </c>
      <c r="T38" s="44">
        <f t="shared" si="6"/>
        <v>625.34400000000005</v>
      </c>
      <c r="U38" s="22">
        <f t="shared" si="7"/>
        <v>1.9189438133251457</v>
      </c>
      <c r="V38" s="7">
        <v>37</v>
      </c>
      <c r="W38" s="6" t="s">
        <v>106</v>
      </c>
      <c r="X38" s="6" t="s">
        <v>44</v>
      </c>
      <c r="Y38" s="49" t="s">
        <v>129</v>
      </c>
      <c r="Z38" s="6" t="s">
        <v>35</v>
      </c>
      <c r="AA38" s="49" t="s">
        <v>111</v>
      </c>
    </row>
    <row r="39" spans="1:27" ht="16">
      <c r="A39" s="1">
        <v>20230301</v>
      </c>
      <c r="B39" s="1">
        <v>1</v>
      </c>
      <c r="C39" s="1" t="s">
        <v>13</v>
      </c>
      <c r="D39" s="1">
        <v>1</v>
      </c>
      <c r="E39" s="1" t="s">
        <v>147</v>
      </c>
      <c r="F39" s="1" t="str">
        <f t="shared" si="8"/>
        <v>1_negative_1</v>
      </c>
      <c r="G39" s="1" t="str">
        <f t="shared" si="9"/>
        <v>20230301_negative_Gate1</v>
      </c>
      <c r="H39" s="2"/>
      <c r="I39" s="1" t="str">
        <f t="shared" si="10"/>
        <v>20230301_negative_Gate1</v>
      </c>
      <c r="J39" t="str">
        <f t="shared" si="11"/>
        <v>MutLib_negative_miniHAPE</v>
      </c>
      <c r="K39" s="6" t="str">
        <f t="shared" si="12"/>
        <v>20230301; CR9114 m.l.; negative; G: 1</v>
      </c>
      <c r="L39" s="7">
        <v>38</v>
      </c>
      <c r="M39" s="7"/>
      <c r="N39" s="7">
        <v>38</v>
      </c>
      <c r="O39" s="22">
        <v>34.738999999999997</v>
      </c>
      <c r="P39" s="22">
        <f t="shared" si="5"/>
        <v>12.895599999999998</v>
      </c>
      <c r="Q39" s="28">
        <v>1506</v>
      </c>
      <c r="R39" s="43">
        <v>19.369</v>
      </c>
      <c r="T39" s="44">
        <f t="shared" si="6"/>
        <v>232.428</v>
      </c>
      <c r="U39" s="22">
        <f t="shared" si="7"/>
        <v>5.1628891527698899</v>
      </c>
      <c r="V39" s="7">
        <v>38</v>
      </c>
      <c r="W39" s="6" t="s">
        <v>106</v>
      </c>
      <c r="X39" s="6" t="s">
        <v>44</v>
      </c>
      <c r="Y39" s="49" t="s">
        <v>129</v>
      </c>
      <c r="Z39" s="6" t="s">
        <v>36</v>
      </c>
      <c r="AA39" s="49" t="s">
        <v>112</v>
      </c>
    </row>
    <row r="40" spans="1:27" ht="16">
      <c r="A40" s="1">
        <v>20230301</v>
      </c>
      <c r="B40" s="1">
        <v>1</v>
      </c>
      <c r="C40" s="1" t="s">
        <v>13</v>
      </c>
      <c r="D40" s="1">
        <v>2</v>
      </c>
      <c r="E40" s="1" t="s">
        <v>148</v>
      </c>
      <c r="F40" s="1" t="str">
        <f t="shared" si="8"/>
        <v>1_negative_2</v>
      </c>
      <c r="G40" s="1" t="str">
        <f t="shared" si="9"/>
        <v>20230301_negative_Gate2</v>
      </c>
      <c r="H40" s="2"/>
      <c r="I40" s="1" t="str">
        <f t="shared" si="10"/>
        <v>20230301_negative_Gate2</v>
      </c>
      <c r="J40" t="str">
        <f t="shared" si="11"/>
        <v>MutLib_negative_miniHAPE</v>
      </c>
      <c r="K40" s="6" t="str">
        <f t="shared" si="12"/>
        <v>20230301; CR9114 m.l.; negative; G: 2</v>
      </c>
      <c r="L40" s="7">
        <v>39</v>
      </c>
      <c r="M40" s="7"/>
      <c r="N40" s="7">
        <v>39</v>
      </c>
      <c r="O40" s="22">
        <v>14.382999999999999</v>
      </c>
      <c r="P40" s="22">
        <f t="shared" si="5"/>
        <v>4.7531999999999996</v>
      </c>
      <c r="Q40" s="12">
        <v>54</v>
      </c>
      <c r="R40" s="43">
        <v>29.873999999999999</v>
      </c>
      <c r="T40" s="44">
        <f t="shared" si="6"/>
        <v>358.488</v>
      </c>
      <c r="U40" s="22">
        <f t="shared" si="7"/>
        <v>3.3473923813349402</v>
      </c>
      <c r="V40" s="7">
        <v>39</v>
      </c>
      <c r="W40" s="6" t="s">
        <v>106</v>
      </c>
      <c r="X40" s="6" t="s">
        <v>44</v>
      </c>
      <c r="Y40" s="49" t="s">
        <v>129</v>
      </c>
      <c r="Z40" s="6" t="s">
        <v>37</v>
      </c>
      <c r="AA40" s="49" t="s">
        <v>113</v>
      </c>
    </row>
    <row r="41" spans="1:27" ht="16">
      <c r="A41" s="1">
        <v>20230301</v>
      </c>
      <c r="B41" s="1">
        <v>1</v>
      </c>
      <c r="C41" s="1" t="s">
        <v>13</v>
      </c>
      <c r="D41" s="1">
        <v>3</v>
      </c>
      <c r="E41" s="1" t="s">
        <v>149</v>
      </c>
      <c r="F41" s="1" t="str">
        <f t="shared" si="8"/>
        <v>1_negative_3</v>
      </c>
      <c r="G41" s="1" t="str">
        <f t="shared" si="9"/>
        <v>20230301_negative_Gate3</v>
      </c>
      <c r="H41" s="2"/>
      <c r="I41" s="1" t="str">
        <f t="shared" si="10"/>
        <v>20230301_negative_Gate3</v>
      </c>
      <c r="J41" t="str">
        <f t="shared" si="11"/>
        <v>MutLib_negative_miniHAPE</v>
      </c>
      <c r="K41" s="6" t="str">
        <f t="shared" si="12"/>
        <v>20230301; CR9114 m.l.; negative; G: 3</v>
      </c>
      <c r="L41" s="7">
        <v>40</v>
      </c>
      <c r="M41" s="7"/>
      <c r="N41" s="7">
        <v>40</v>
      </c>
      <c r="O41" s="22">
        <v>13.252000000000001</v>
      </c>
      <c r="P41" s="22">
        <f t="shared" si="5"/>
        <v>4.3008000000000006</v>
      </c>
      <c r="Q41" s="12">
        <v>21</v>
      </c>
      <c r="R41" s="43">
        <v>32.206000000000003</v>
      </c>
      <c r="T41" s="44">
        <f t="shared" si="6"/>
        <v>386.47200000000004</v>
      </c>
      <c r="U41" s="22">
        <f t="shared" si="7"/>
        <v>3.1050114885425075</v>
      </c>
      <c r="V41" s="7">
        <v>40</v>
      </c>
      <c r="W41" s="6" t="s">
        <v>106</v>
      </c>
      <c r="X41" s="6" t="s">
        <v>44</v>
      </c>
      <c r="Y41" s="49" t="s">
        <v>129</v>
      </c>
      <c r="Z41" s="6" t="s">
        <v>38</v>
      </c>
      <c r="AA41" s="49" t="s">
        <v>114</v>
      </c>
    </row>
    <row r="42" spans="1:27" ht="16">
      <c r="A42" s="1">
        <v>20230302</v>
      </c>
      <c r="B42" s="1">
        <v>2</v>
      </c>
      <c r="C42" s="1">
        <v>16</v>
      </c>
      <c r="D42" s="1" t="s">
        <v>18</v>
      </c>
      <c r="E42" s="1" t="s">
        <v>52</v>
      </c>
      <c r="F42" s="1" t="str">
        <f t="shared" si="8"/>
        <v>2_16_un</v>
      </c>
      <c r="G42" s="1" t="str">
        <f t="shared" ref="G42:G69" si="13">CONCATENATE(A42,"_",C42,"nM_Gate",D42)</f>
        <v>20230302_16nM_Gateun</v>
      </c>
      <c r="H42" s="1">
        <v>16</v>
      </c>
      <c r="I42" s="1" t="str">
        <f t="shared" ref="I42:I69" si="14">CONCATENATE(A42,"_",H42,"nM_Gate",D42)</f>
        <v>20230302_16nM_Gateun</v>
      </c>
      <c r="J42" t="s">
        <v>16</v>
      </c>
      <c r="K42" t="str">
        <f t="shared" ref="K42:K69" si="15">CONCATENATE(A42,"; CR9114 m.l.; ",C42,"nM mHA-PE; G: ",D42)</f>
        <v>20230302; CR9114 m.l.; 16nM mHA-PE; G: un</v>
      </c>
      <c r="L42" s="12">
        <v>41</v>
      </c>
      <c r="M42" s="7">
        <v>26.6</v>
      </c>
      <c r="N42" s="12">
        <v>41</v>
      </c>
      <c r="O42" s="22">
        <v>14.598000000000001</v>
      </c>
      <c r="P42" s="22">
        <f t="shared" si="5"/>
        <v>4.8391999999999999</v>
      </c>
      <c r="Q42">
        <v>769649</v>
      </c>
      <c r="R42" s="43">
        <v>60.012999999999998</v>
      </c>
      <c r="T42" s="44">
        <f>R42*12</f>
        <v>720.15599999999995</v>
      </c>
      <c r="U42" s="22">
        <f t="shared" si="7"/>
        <v>1.6663056337793478</v>
      </c>
      <c r="V42" s="7">
        <v>41</v>
      </c>
      <c r="W42" s="6" t="s">
        <v>106</v>
      </c>
      <c r="X42" s="6" t="s">
        <v>45</v>
      </c>
      <c r="Y42" s="49" t="s">
        <v>131</v>
      </c>
      <c r="Z42" s="6" t="s">
        <v>31</v>
      </c>
      <c r="AA42" s="49" t="s">
        <v>107</v>
      </c>
    </row>
    <row r="43" spans="1:27" ht="16">
      <c r="A43" s="1">
        <v>20230302</v>
      </c>
      <c r="B43" s="1">
        <v>2</v>
      </c>
      <c r="C43" s="1">
        <v>16</v>
      </c>
      <c r="D43" s="1">
        <v>1</v>
      </c>
      <c r="E43" s="1" t="s">
        <v>147</v>
      </c>
      <c r="F43" s="1" t="str">
        <f t="shared" si="8"/>
        <v>2_16_1</v>
      </c>
      <c r="G43" s="1" t="str">
        <f t="shared" si="13"/>
        <v>20230302_16nM_Gate1</v>
      </c>
      <c r="H43" s="1">
        <v>16</v>
      </c>
      <c r="I43" s="1" t="str">
        <f t="shared" si="14"/>
        <v>20230302_16nM_Gate1</v>
      </c>
      <c r="K43" s="6" t="str">
        <f t="shared" si="15"/>
        <v>20230302; CR9114 m.l.; 16nM mHA-PE; G: 1</v>
      </c>
      <c r="L43" s="7">
        <v>42</v>
      </c>
      <c r="M43" s="12">
        <v>15.8</v>
      </c>
      <c r="N43" s="26">
        <v>42</v>
      </c>
      <c r="O43" s="27">
        <v>94.8</v>
      </c>
      <c r="P43" s="22">
        <f t="shared" si="5"/>
        <v>36.92</v>
      </c>
      <c r="Q43" s="28">
        <v>103166</v>
      </c>
      <c r="R43" s="43">
        <v>51.576000000000001</v>
      </c>
      <c r="T43" s="44">
        <f t="shared" si="6"/>
        <v>618.91200000000003</v>
      </c>
      <c r="U43" s="22">
        <f t="shared" si="7"/>
        <v>1.9388863037071506</v>
      </c>
      <c r="V43" s="7">
        <v>42</v>
      </c>
      <c r="W43" s="6" t="s">
        <v>106</v>
      </c>
      <c r="X43" s="6" t="s">
        <v>45</v>
      </c>
      <c r="Y43" s="49" t="s">
        <v>131</v>
      </c>
      <c r="Z43" s="6" t="s">
        <v>32</v>
      </c>
      <c r="AA43" s="49" t="s">
        <v>108</v>
      </c>
    </row>
    <row r="44" spans="1:27" ht="16">
      <c r="A44" s="1">
        <v>20230302</v>
      </c>
      <c r="B44" s="1">
        <v>2</v>
      </c>
      <c r="C44" s="1">
        <v>16</v>
      </c>
      <c r="D44" s="1">
        <v>2</v>
      </c>
      <c r="E44" s="1" t="s">
        <v>148</v>
      </c>
      <c r="F44" s="1" t="str">
        <f t="shared" si="8"/>
        <v>2_16_2</v>
      </c>
      <c r="G44" s="1" t="str">
        <f t="shared" si="13"/>
        <v>20230302_16nM_Gate2</v>
      </c>
      <c r="H44" s="1">
        <v>16</v>
      </c>
      <c r="I44" s="1" t="str">
        <f t="shared" si="14"/>
        <v>20230302_16nM_Gate2</v>
      </c>
      <c r="K44" s="6" t="str">
        <f t="shared" si="15"/>
        <v>20230302; CR9114 m.l.; 16nM mHA-PE; G: 2</v>
      </c>
      <c r="L44" s="7">
        <v>43</v>
      </c>
      <c r="M44" s="7">
        <v>12.1</v>
      </c>
      <c r="N44" s="7">
        <v>43</v>
      </c>
      <c r="O44" s="22">
        <v>45.402000000000001</v>
      </c>
      <c r="P44" s="22">
        <f t="shared" si="5"/>
        <v>17.160800000000002</v>
      </c>
      <c r="Q44" s="28">
        <v>141947</v>
      </c>
      <c r="R44" s="43">
        <v>63.314999999999998</v>
      </c>
      <c r="T44" s="44">
        <f t="shared" si="6"/>
        <v>759.78</v>
      </c>
      <c r="U44" s="22">
        <f t="shared" si="7"/>
        <v>1.5794045644791914</v>
      </c>
      <c r="V44" s="7">
        <v>43</v>
      </c>
      <c r="W44" s="6" t="s">
        <v>106</v>
      </c>
      <c r="X44" s="6" t="s">
        <v>45</v>
      </c>
      <c r="Y44" s="49" t="s">
        <v>131</v>
      </c>
      <c r="Z44" s="6" t="s">
        <v>33</v>
      </c>
      <c r="AA44" s="49" t="s">
        <v>109</v>
      </c>
    </row>
    <row r="45" spans="1:27" ht="16">
      <c r="A45" s="1">
        <v>20230302</v>
      </c>
      <c r="B45" s="1">
        <v>2</v>
      </c>
      <c r="C45" s="1">
        <v>16</v>
      </c>
      <c r="D45" s="1">
        <v>3</v>
      </c>
      <c r="E45" s="1" t="s">
        <v>149</v>
      </c>
      <c r="F45" s="1" t="str">
        <f t="shared" si="8"/>
        <v>2_16_3</v>
      </c>
      <c r="G45" s="1" t="str">
        <f t="shared" si="13"/>
        <v>20230302_16nM_Gate3</v>
      </c>
      <c r="H45" s="1">
        <v>16</v>
      </c>
      <c r="I45" s="1" t="str">
        <f t="shared" si="14"/>
        <v>20230302_16nM_Gate3</v>
      </c>
      <c r="K45" s="6" t="str">
        <f t="shared" si="15"/>
        <v>20230302; CR9114 m.l.; 16nM mHA-PE; G: 3</v>
      </c>
      <c r="L45" s="7">
        <v>44</v>
      </c>
      <c r="M45" s="7">
        <v>9</v>
      </c>
      <c r="N45" s="7">
        <v>44</v>
      </c>
      <c r="O45" s="22">
        <v>44.774000000000001</v>
      </c>
      <c r="P45" s="22">
        <f>(O45/2.5)-1</f>
        <v>16.909600000000001</v>
      </c>
      <c r="Q45" s="28">
        <v>168968</v>
      </c>
      <c r="R45" s="43">
        <v>47.360999999999997</v>
      </c>
      <c r="T45" s="44">
        <f t="shared" si="6"/>
        <v>568.33199999999999</v>
      </c>
      <c r="U45" s="22">
        <f t="shared" si="7"/>
        <v>2.1114419036760204</v>
      </c>
      <c r="V45" s="7">
        <v>44</v>
      </c>
      <c r="W45" s="6" t="s">
        <v>106</v>
      </c>
      <c r="X45" s="6" t="s">
        <v>45</v>
      </c>
      <c r="Y45" s="49" t="s">
        <v>131</v>
      </c>
      <c r="Z45" s="6" t="s">
        <v>34</v>
      </c>
      <c r="AA45" s="49" t="s">
        <v>110</v>
      </c>
    </row>
    <row r="46" spans="1:27" ht="16">
      <c r="A46" s="1">
        <v>20230302</v>
      </c>
      <c r="B46" s="1">
        <v>2</v>
      </c>
      <c r="C46" s="1">
        <v>5</v>
      </c>
      <c r="D46" s="4" t="s">
        <v>18</v>
      </c>
      <c r="E46" s="1" t="s">
        <v>52</v>
      </c>
      <c r="F46" s="1" t="str">
        <f t="shared" si="8"/>
        <v>2_5_un</v>
      </c>
      <c r="G46" s="1" t="str">
        <f t="shared" si="13"/>
        <v>20230302_5nM_Gateun</v>
      </c>
      <c r="H46" s="1">
        <v>5</v>
      </c>
      <c r="I46" s="1" t="str">
        <f t="shared" si="14"/>
        <v>20230302_5nM_Gateun</v>
      </c>
      <c r="K46" s="6" t="str">
        <f t="shared" si="15"/>
        <v>20230302; CR9114 m.l.; 5nM mHA-PE; G: un</v>
      </c>
      <c r="L46" s="7">
        <v>45</v>
      </c>
      <c r="M46" s="7" t="s">
        <v>21</v>
      </c>
      <c r="N46" s="7">
        <v>45</v>
      </c>
      <c r="O46" s="22">
        <v>67.888000000000005</v>
      </c>
      <c r="P46" s="22">
        <f t="shared" si="5"/>
        <v>26.155200000000001</v>
      </c>
      <c r="Q46">
        <v>863508</v>
      </c>
      <c r="R46" s="43">
        <v>50.898000000000003</v>
      </c>
      <c r="T46" s="44">
        <f t="shared" si="6"/>
        <v>610.77600000000007</v>
      </c>
      <c r="U46" s="22">
        <f t="shared" si="7"/>
        <v>1.9647137412079059</v>
      </c>
      <c r="V46" s="7">
        <v>45</v>
      </c>
      <c r="W46" s="6" t="s">
        <v>106</v>
      </c>
      <c r="X46" s="6" t="s">
        <v>45</v>
      </c>
      <c r="Y46" s="49" t="s">
        <v>131</v>
      </c>
      <c r="Z46" s="6" t="s">
        <v>35</v>
      </c>
      <c r="AA46" s="49" t="s">
        <v>111</v>
      </c>
    </row>
    <row r="47" spans="1:27" ht="16">
      <c r="A47" s="1">
        <v>20230302</v>
      </c>
      <c r="B47" s="1">
        <v>2</v>
      </c>
      <c r="C47" s="1">
        <v>5</v>
      </c>
      <c r="D47" s="4">
        <v>1</v>
      </c>
      <c r="E47" s="1" t="s">
        <v>147</v>
      </c>
      <c r="F47" s="1" t="str">
        <f t="shared" si="8"/>
        <v>2_5_1</v>
      </c>
      <c r="G47" s="1" t="str">
        <f t="shared" si="13"/>
        <v>20230302_5nM_Gate1</v>
      </c>
      <c r="H47" s="1">
        <v>5</v>
      </c>
      <c r="I47" s="1" t="str">
        <f t="shared" si="14"/>
        <v>20230302_5nM_Gate1</v>
      </c>
      <c r="K47" s="6" t="str">
        <f t="shared" si="15"/>
        <v>20230302; CR9114 m.l.; 5nM mHA-PE; G: 1</v>
      </c>
      <c r="L47" s="7">
        <v>46</v>
      </c>
      <c r="M47" s="7">
        <v>6.7</v>
      </c>
      <c r="N47" s="7">
        <v>46</v>
      </c>
      <c r="O47" s="22">
        <v>35.094999999999999</v>
      </c>
      <c r="P47" s="22">
        <f t="shared" si="5"/>
        <v>13.038</v>
      </c>
      <c r="Q47" s="28">
        <v>116005</v>
      </c>
      <c r="R47" s="43">
        <v>48.566000000000003</v>
      </c>
      <c r="T47" s="44">
        <f t="shared" si="6"/>
        <v>582.79200000000003</v>
      </c>
      <c r="U47" s="22">
        <f t="shared" si="7"/>
        <v>2.0590536589383519</v>
      </c>
      <c r="V47" s="7">
        <v>46</v>
      </c>
      <c r="W47" s="6" t="s">
        <v>106</v>
      </c>
      <c r="X47" s="6" t="s">
        <v>45</v>
      </c>
      <c r="Y47" s="49" t="s">
        <v>131</v>
      </c>
      <c r="Z47" s="6" t="s">
        <v>36</v>
      </c>
      <c r="AA47" s="49" t="s">
        <v>112</v>
      </c>
    </row>
    <row r="48" spans="1:27" ht="16">
      <c r="A48" s="1">
        <v>20230302</v>
      </c>
      <c r="B48" s="1">
        <v>2</v>
      </c>
      <c r="C48" s="1">
        <v>5</v>
      </c>
      <c r="D48" s="5">
        <v>2</v>
      </c>
      <c r="E48" s="1" t="s">
        <v>148</v>
      </c>
      <c r="F48" s="1" t="str">
        <f t="shared" si="8"/>
        <v>2_5_2</v>
      </c>
      <c r="G48" s="1" t="str">
        <f t="shared" si="13"/>
        <v>20230302_5nM_Gate2</v>
      </c>
      <c r="H48" s="1">
        <v>5</v>
      </c>
      <c r="I48" s="1" t="str">
        <f t="shared" si="14"/>
        <v>20230302_5nM_Gate2</v>
      </c>
      <c r="K48" s="6" t="str">
        <f t="shared" si="15"/>
        <v>20230302; CR9114 m.l.; 5nM mHA-PE; G: 2</v>
      </c>
      <c r="L48" s="7">
        <v>47</v>
      </c>
      <c r="M48" s="7">
        <v>17</v>
      </c>
      <c r="N48" s="7">
        <v>47</v>
      </c>
      <c r="O48" s="22">
        <v>26.047000000000001</v>
      </c>
      <c r="P48" s="22">
        <f t="shared" si="5"/>
        <v>9.4188000000000009</v>
      </c>
      <c r="Q48" s="28">
        <v>151228</v>
      </c>
      <c r="R48" s="43">
        <v>51.13</v>
      </c>
      <c r="T48" s="44">
        <f t="shared" si="6"/>
        <v>613.56000000000006</v>
      </c>
      <c r="U48" s="22">
        <f t="shared" si="7"/>
        <v>1.9557989438685701</v>
      </c>
      <c r="V48" s="7">
        <v>47</v>
      </c>
      <c r="W48" s="6" t="s">
        <v>106</v>
      </c>
      <c r="X48" s="6" t="s">
        <v>45</v>
      </c>
      <c r="Y48" s="49" t="s">
        <v>131</v>
      </c>
      <c r="Z48" s="6" t="s">
        <v>37</v>
      </c>
      <c r="AA48" s="49" t="s">
        <v>113</v>
      </c>
    </row>
    <row r="49" spans="1:27" ht="16">
      <c r="A49" s="1">
        <v>20230302</v>
      </c>
      <c r="B49" s="1">
        <v>2</v>
      </c>
      <c r="C49" s="1">
        <v>5</v>
      </c>
      <c r="D49" s="5">
        <v>3</v>
      </c>
      <c r="E49" s="1" t="s">
        <v>149</v>
      </c>
      <c r="F49" s="1" t="str">
        <f t="shared" si="8"/>
        <v>2_5_3</v>
      </c>
      <c r="G49" s="1" t="str">
        <f t="shared" si="13"/>
        <v>20230302_5nM_Gate3</v>
      </c>
      <c r="H49" s="1">
        <v>5</v>
      </c>
      <c r="I49" s="1" t="str">
        <f t="shared" si="14"/>
        <v>20230302_5nM_Gate3</v>
      </c>
      <c r="K49" s="6" t="str">
        <f t="shared" si="15"/>
        <v>20230302; CR9114 m.l.; 5nM mHA-PE; G: 3</v>
      </c>
      <c r="L49" s="7">
        <v>48</v>
      </c>
      <c r="M49" s="7">
        <v>8</v>
      </c>
      <c r="N49" s="7">
        <v>48</v>
      </c>
      <c r="O49" s="22">
        <v>34.564999999999998</v>
      </c>
      <c r="P49" s="22">
        <f t="shared" si="5"/>
        <v>12.825999999999999</v>
      </c>
      <c r="Q49" s="28">
        <v>113524</v>
      </c>
      <c r="R49" s="43">
        <v>47.779000000000003</v>
      </c>
      <c r="T49" s="44">
        <f t="shared" si="6"/>
        <v>573.34800000000007</v>
      </c>
      <c r="U49" s="22">
        <f t="shared" si="7"/>
        <v>2.0929697147282278</v>
      </c>
      <c r="V49" s="7">
        <v>48</v>
      </c>
      <c r="W49" s="6" t="s">
        <v>106</v>
      </c>
      <c r="X49" s="6" t="s">
        <v>45</v>
      </c>
      <c r="Y49" s="49" t="s">
        <v>131</v>
      </c>
      <c r="Z49" s="6" t="s">
        <v>38</v>
      </c>
      <c r="AA49" s="49" t="s">
        <v>114</v>
      </c>
    </row>
    <row r="50" spans="1:27" ht="16">
      <c r="A50" s="1">
        <v>20230302</v>
      </c>
      <c r="B50" s="1">
        <v>2</v>
      </c>
      <c r="C50" s="1">
        <v>1.6</v>
      </c>
      <c r="D50" s="5" t="s">
        <v>18</v>
      </c>
      <c r="E50" s="1" t="s">
        <v>52</v>
      </c>
      <c r="F50" s="1" t="str">
        <f t="shared" si="8"/>
        <v>2_1.6_un</v>
      </c>
      <c r="G50" s="1" t="str">
        <f t="shared" si="13"/>
        <v>20230302_1.6nM_Gateun</v>
      </c>
      <c r="H50" s="2" t="s">
        <v>7</v>
      </c>
      <c r="I50" s="1" t="str">
        <f t="shared" si="14"/>
        <v>20230302_16e-1nM_Gateun</v>
      </c>
      <c r="K50" s="6" t="str">
        <f t="shared" si="15"/>
        <v>20230302; CR9114 m.l.; 1.6nM mHA-PE; G: un</v>
      </c>
      <c r="L50" s="7">
        <v>49</v>
      </c>
      <c r="M50" s="7">
        <v>7.2</v>
      </c>
      <c r="N50" s="7">
        <v>49</v>
      </c>
      <c r="O50" s="22">
        <v>15.218</v>
      </c>
      <c r="P50" s="22">
        <f t="shared" si="5"/>
        <v>5.0872000000000002</v>
      </c>
      <c r="Q50">
        <v>763599</v>
      </c>
      <c r="R50" s="43">
        <v>38.325000000000003</v>
      </c>
      <c r="T50" s="44">
        <f t="shared" si="6"/>
        <v>459.90000000000003</v>
      </c>
      <c r="U50" s="22">
        <f t="shared" si="7"/>
        <v>2.6092628832354858</v>
      </c>
      <c r="V50" s="7">
        <v>49</v>
      </c>
      <c r="W50" s="6" t="s">
        <v>106</v>
      </c>
      <c r="X50" s="6" t="s">
        <v>46</v>
      </c>
      <c r="Y50" s="49" t="s">
        <v>133</v>
      </c>
      <c r="Z50" s="6" t="s">
        <v>31</v>
      </c>
      <c r="AA50" s="49" t="s">
        <v>107</v>
      </c>
    </row>
    <row r="51" spans="1:27" ht="15" customHeight="1">
      <c r="A51" s="1">
        <v>20230302</v>
      </c>
      <c r="B51" s="1">
        <v>2</v>
      </c>
      <c r="C51" s="1">
        <v>1.6</v>
      </c>
      <c r="D51" s="4">
        <v>1</v>
      </c>
      <c r="E51" s="1" t="s">
        <v>147</v>
      </c>
      <c r="F51" s="1" t="str">
        <f t="shared" si="8"/>
        <v>2_1.6_1</v>
      </c>
      <c r="G51" s="1" t="str">
        <f t="shared" si="13"/>
        <v>20230302_1.6nM_Gate1</v>
      </c>
      <c r="H51" s="2" t="s">
        <v>7</v>
      </c>
      <c r="I51" s="1" t="str">
        <f t="shared" si="14"/>
        <v>20230302_16e-1nM_Gate1</v>
      </c>
      <c r="K51" s="6" t="str">
        <f t="shared" si="15"/>
        <v>20230302; CR9114 m.l.; 1.6nM mHA-PE; G: 1</v>
      </c>
      <c r="L51" s="7">
        <v>50</v>
      </c>
      <c r="M51" s="7">
        <v>6</v>
      </c>
      <c r="N51" s="7">
        <v>50</v>
      </c>
      <c r="O51" s="22">
        <v>12.545999999999999</v>
      </c>
      <c r="P51" s="22">
        <f t="shared" si="5"/>
        <v>4.0183999999999997</v>
      </c>
      <c r="Q51" s="28">
        <v>96722</v>
      </c>
      <c r="R51" s="43">
        <v>20.015000000000001</v>
      </c>
      <c r="T51" s="44">
        <f t="shared" si="6"/>
        <v>240.18</v>
      </c>
      <c r="U51" s="22">
        <f t="shared" si="7"/>
        <v>4.9962528103922059</v>
      </c>
      <c r="V51" s="7">
        <v>50</v>
      </c>
      <c r="W51" s="6" t="s">
        <v>106</v>
      </c>
      <c r="X51" s="6" t="s">
        <v>46</v>
      </c>
      <c r="Y51" s="49" t="s">
        <v>133</v>
      </c>
      <c r="Z51" s="6" t="s">
        <v>32</v>
      </c>
      <c r="AA51" s="49" t="s">
        <v>108</v>
      </c>
    </row>
    <row r="52" spans="1:27" ht="16">
      <c r="A52" s="1">
        <v>20230302</v>
      </c>
      <c r="B52" s="1">
        <v>2</v>
      </c>
      <c r="C52" s="1">
        <v>1.6</v>
      </c>
      <c r="D52" s="5">
        <v>2</v>
      </c>
      <c r="E52" s="1" t="s">
        <v>148</v>
      </c>
      <c r="F52" s="1" t="str">
        <f t="shared" si="8"/>
        <v>2_1.6_2</v>
      </c>
      <c r="G52" s="1" t="str">
        <f t="shared" si="13"/>
        <v>20230302_1.6nM_Gate2</v>
      </c>
      <c r="H52" s="2" t="s">
        <v>7</v>
      </c>
      <c r="I52" s="1" t="str">
        <f t="shared" si="14"/>
        <v>20230302_16e-1nM_Gate2</v>
      </c>
      <c r="K52" s="6" t="str">
        <f t="shared" si="15"/>
        <v>20230302; CR9114 m.l.; 1.6nM mHA-PE; G: 2</v>
      </c>
      <c r="L52" s="7">
        <v>51</v>
      </c>
      <c r="M52" s="7"/>
      <c r="N52" s="7">
        <v>51</v>
      </c>
      <c r="O52" s="22">
        <v>27.879000000000001</v>
      </c>
      <c r="P52" s="22">
        <f t="shared" si="5"/>
        <v>10.1516</v>
      </c>
      <c r="Q52" s="28">
        <v>110019</v>
      </c>
      <c r="R52" s="43">
        <v>46.508000000000003</v>
      </c>
      <c r="T52" s="44">
        <f t="shared" si="6"/>
        <v>558.096</v>
      </c>
      <c r="U52" s="22">
        <f t="shared" si="7"/>
        <v>2.1501677130816201</v>
      </c>
      <c r="V52" s="7">
        <v>51</v>
      </c>
      <c r="W52" s="6" t="s">
        <v>106</v>
      </c>
      <c r="X52" s="6" t="s">
        <v>46</v>
      </c>
      <c r="Y52" s="49" t="s">
        <v>133</v>
      </c>
      <c r="Z52" s="6" t="s">
        <v>33</v>
      </c>
      <c r="AA52" s="49" t="s">
        <v>109</v>
      </c>
    </row>
    <row r="53" spans="1:27" ht="16">
      <c r="A53" s="1">
        <v>20230302</v>
      </c>
      <c r="B53" s="1">
        <v>2</v>
      </c>
      <c r="C53" s="1">
        <v>1.6</v>
      </c>
      <c r="D53" s="5">
        <v>3</v>
      </c>
      <c r="E53" s="1" t="s">
        <v>149</v>
      </c>
      <c r="F53" s="1" t="str">
        <f t="shared" si="8"/>
        <v>2_1.6_3</v>
      </c>
      <c r="G53" s="1" t="str">
        <f t="shared" si="13"/>
        <v>20230302_1.6nM_Gate3</v>
      </c>
      <c r="H53" s="2" t="s">
        <v>7</v>
      </c>
      <c r="I53" s="1" t="str">
        <f t="shared" si="14"/>
        <v>20230302_16e-1nM_Gate3</v>
      </c>
      <c r="K53" s="6" t="str">
        <f t="shared" si="15"/>
        <v>20230302; CR9114 m.l.; 1.6nM mHA-PE; G: 3</v>
      </c>
      <c r="L53" s="7">
        <v>52</v>
      </c>
      <c r="M53" s="7"/>
      <c r="N53" s="7">
        <v>52</v>
      </c>
      <c r="O53" s="22">
        <v>16.399000000000001</v>
      </c>
      <c r="P53" s="22">
        <f>(O53/2.5)-1</f>
        <v>5.5596000000000005</v>
      </c>
      <c r="Q53" s="28">
        <v>49645</v>
      </c>
      <c r="R53" s="43">
        <v>38.866</v>
      </c>
      <c r="T53" s="44">
        <f t="shared" si="6"/>
        <v>466.392</v>
      </c>
      <c r="U53" s="22">
        <f t="shared" si="7"/>
        <v>2.5729429321257653</v>
      </c>
      <c r="V53" s="7">
        <v>52</v>
      </c>
      <c r="W53" s="6" t="s">
        <v>106</v>
      </c>
      <c r="X53" s="6" t="s">
        <v>46</v>
      </c>
      <c r="Y53" s="49" t="s">
        <v>133</v>
      </c>
      <c r="Z53" s="6" t="s">
        <v>34</v>
      </c>
      <c r="AA53" s="49" t="s">
        <v>110</v>
      </c>
    </row>
    <row r="54" spans="1:27" ht="16">
      <c r="A54" s="1">
        <v>20230302</v>
      </c>
      <c r="B54" s="1">
        <v>2</v>
      </c>
      <c r="C54" s="1">
        <v>0.5</v>
      </c>
      <c r="D54" s="5" t="s">
        <v>18</v>
      </c>
      <c r="E54" s="1" t="s">
        <v>52</v>
      </c>
      <c r="F54" s="1" t="str">
        <f t="shared" si="8"/>
        <v>2_0.5_un</v>
      </c>
      <c r="G54" s="1" t="str">
        <f t="shared" si="13"/>
        <v>20230302_0.5nM_Gateun</v>
      </c>
      <c r="H54" s="2" t="s">
        <v>8</v>
      </c>
      <c r="I54" s="1" t="str">
        <f t="shared" si="14"/>
        <v>20230302_5e-1nM_Gateun</v>
      </c>
      <c r="K54" s="6" t="str">
        <f t="shared" si="15"/>
        <v>20230302; CR9114 m.l.; 0.5nM mHA-PE; G: un</v>
      </c>
      <c r="L54" s="7">
        <v>53</v>
      </c>
      <c r="M54" s="7"/>
      <c r="N54" s="7">
        <v>53</v>
      </c>
      <c r="O54" s="22">
        <v>25.291</v>
      </c>
      <c r="P54" s="22">
        <f t="shared" si="5"/>
        <v>9.1164000000000005</v>
      </c>
      <c r="Q54" s="28">
        <v>823588</v>
      </c>
      <c r="R54" s="43">
        <v>37.01</v>
      </c>
      <c r="T54" s="44">
        <f t="shared" si="6"/>
        <v>444.12</v>
      </c>
      <c r="U54" s="22">
        <f t="shared" si="7"/>
        <v>2.7019724398811134</v>
      </c>
      <c r="V54" s="7">
        <v>53</v>
      </c>
      <c r="W54" s="6" t="s">
        <v>106</v>
      </c>
      <c r="X54" s="6" t="s">
        <v>46</v>
      </c>
      <c r="Y54" s="49" t="s">
        <v>133</v>
      </c>
      <c r="Z54" s="6" t="s">
        <v>35</v>
      </c>
      <c r="AA54" s="49" t="s">
        <v>111</v>
      </c>
    </row>
    <row r="55" spans="1:27" ht="16">
      <c r="A55" s="1">
        <v>20230302</v>
      </c>
      <c r="B55" s="1">
        <v>2</v>
      </c>
      <c r="C55" s="1">
        <v>0.5</v>
      </c>
      <c r="D55" s="4">
        <v>1</v>
      </c>
      <c r="E55" s="1" t="s">
        <v>147</v>
      </c>
      <c r="F55" s="1" t="str">
        <f t="shared" si="8"/>
        <v>2_0.5_1</v>
      </c>
      <c r="G55" s="1" t="str">
        <f t="shared" si="13"/>
        <v>20230302_0.5nM_Gate1</v>
      </c>
      <c r="H55" s="2" t="s">
        <v>8</v>
      </c>
      <c r="I55" s="1" t="str">
        <f t="shared" si="14"/>
        <v>20230302_5e-1nM_Gate1</v>
      </c>
      <c r="K55" s="6" t="str">
        <f t="shared" si="15"/>
        <v>20230302; CR9114 m.l.; 0.5nM mHA-PE; G: 1</v>
      </c>
      <c r="L55" s="7">
        <v>54</v>
      </c>
      <c r="M55" s="7"/>
      <c r="N55" s="7">
        <v>54</v>
      </c>
      <c r="O55" s="22">
        <v>29.382999999999999</v>
      </c>
      <c r="P55" s="22">
        <f t="shared" si="5"/>
        <v>10.7532</v>
      </c>
      <c r="Q55" s="28">
        <v>105951</v>
      </c>
      <c r="R55" s="43">
        <v>60.569000000000003</v>
      </c>
      <c r="T55" s="44">
        <f t="shared" si="6"/>
        <v>726.82799999999997</v>
      </c>
      <c r="U55" s="22">
        <f t="shared" si="7"/>
        <v>1.6510095923657315</v>
      </c>
      <c r="V55" s="7">
        <v>54</v>
      </c>
      <c r="W55" s="6" t="s">
        <v>106</v>
      </c>
      <c r="X55" s="6" t="s">
        <v>46</v>
      </c>
      <c r="Y55" s="49" t="s">
        <v>133</v>
      </c>
      <c r="Z55" s="6" t="s">
        <v>36</v>
      </c>
      <c r="AA55" s="49" t="s">
        <v>112</v>
      </c>
    </row>
    <row r="56" spans="1:27" ht="16">
      <c r="A56" s="1">
        <v>20230302</v>
      </c>
      <c r="B56" s="1">
        <v>2</v>
      </c>
      <c r="C56" s="1">
        <v>0.5</v>
      </c>
      <c r="D56" s="5">
        <v>2</v>
      </c>
      <c r="E56" s="1" t="s">
        <v>148</v>
      </c>
      <c r="F56" s="1" t="str">
        <f t="shared" si="8"/>
        <v>2_0.5_2</v>
      </c>
      <c r="G56" s="1" t="str">
        <f t="shared" si="13"/>
        <v>20230302_0.5nM_Gate2</v>
      </c>
      <c r="H56" s="2" t="s">
        <v>8</v>
      </c>
      <c r="I56" s="1" t="str">
        <f t="shared" si="14"/>
        <v>20230302_5e-1nM_Gate2</v>
      </c>
      <c r="K56" s="6" t="str">
        <f t="shared" si="15"/>
        <v>20230302; CR9114 m.l.; 0.5nM mHA-PE; G: 2</v>
      </c>
      <c r="L56" s="7">
        <v>55</v>
      </c>
      <c r="M56" s="7"/>
      <c r="N56" s="7">
        <v>55</v>
      </c>
      <c r="O56" s="22">
        <v>13.833</v>
      </c>
      <c r="P56" s="22">
        <f t="shared" si="5"/>
        <v>4.5331999999999999</v>
      </c>
      <c r="Q56" s="28">
        <v>98087</v>
      </c>
      <c r="R56" s="43">
        <v>48.347000000000001</v>
      </c>
      <c r="T56" s="44">
        <f t="shared" si="6"/>
        <v>580.16399999999999</v>
      </c>
      <c r="U56" s="22">
        <f t="shared" si="7"/>
        <v>2.0683806647775458</v>
      </c>
      <c r="V56" s="7">
        <v>55</v>
      </c>
      <c r="W56" s="6" t="s">
        <v>106</v>
      </c>
      <c r="X56" s="6" t="s">
        <v>46</v>
      </c>
      <c r="Y56" s="49" t="s">
        <v>133</v>
      </c>
      <c r="Z56" s="6" t="s">
        <v>37</v>
      </c>
      <c r="AA56" s="49" t="s">
        <v>113</v>
      </c>
    </row>
    <row r="57" spans="1:27" ht="16">
      <c r="A57" s="1">
        <v>20230302</v>
      </c>
      <c r="B57" s="1">
        <v>2</v>
      </c>
      <c r="C57" s="1">
        <v>0.5</v>
      </c>
      <c r="D57" s="5">
        <v>3</v>
      </c>
      <c r="E57" s="1" t="s">
        <v>149</v>
      </c>
      <c r="F57" s="1" t="str">
        <f t="shared" si="8"/>
        <v>2_0.5_3</v>
      </c>
      <c r="G57" s="1" t="str">
        <f t="shared" si="13"/>
        <v>20230302_0.5nM_Gate3</v>
      </c>
      <c r="H57" s="2" t="s">
        <v>8</v>
      </c>
      <c r="I57" s="1" t="str">
        <f t="shared" si="14"/>
        <v>20230302_5e-1nM_Gate3</v>
      </c>
      <c r="K57" s="6" t="str">
        <f t="shared" si="15"/>
        <v>20230302; CR9114 m.l.; 0.5nM mHA-PE; G: 3</v>
      </c>
      <c r="L57" s="7">
        <v>56</v>
      </c>
      <c r="M57" s="7"/>
      <c r="N57" s="7">
        <v>56</v>
      </c>
      <c r="O57" s="22">
        <v>20.003</v>
      </c>
      <c r="P57" s="22">
        <f t="shared" si="5"/>
        <v>7.0012000000000008</v>
      </c>
      <c r="Q57" s="28">
        <v>17960</v>
      </c>
      <c r="R57" s="43">
        <v>36.921999999999997</v>
      </c>
      <c r="T57" s="44">
        <f t="shared" si="6"/>
        <v>443.06399999999996</v>
      </c>
      <c r="U57" s="22">
        <f t="shared" si="7"/>
        <v>2.7084123286929205</v>
      </c>
      <c r="V57" s="7">
        <v>56</v>
      </c>
      <c r="W57" s="6" t="s">
        <v>106</v>
      </c>
      <c r="X57" s="6" t="s">
        <v>46</v>
      </c>
      <c r="Y57" s="49" t="s">
        <v>133</v>
      </c>
      <c r="Z57" s="6" t="s">
        <v>38</v>
      </c>
      <c r="AA57" s="49" t="s">
        <v>114</v>
      </c>
    </row>
    <row r="58" spans="1:27" ht="16">
      <c r="A58" s="1">
        <v>20230302</v>
      </c>
      <c r="B58" s="1">
        <v>2</v>
      </c>
      <c r="C58" s="1">
        <v>0.16</v>
      </c>
      <c r="D58" s="5" t="s">
        <v>18</v>
      </c>
      <c r="E58" s="1" t="s">
        <v>52</v>
      </c>
      <c r="F58" s="1" t="str">
        <f t="shared" si="8"/>
        <v>2_0.16_un</v>
      </c>
      <c r="G58" s="1" t="str">
        <f t="shared" si="13"/>
        <v>20230302_0.16nM_Gateun</v>
      </c>
      <c r="H58" s="2" t="s">
        <v>9</v>
      </c>
      <c r="I58" s="1" t="str">
        <f t="shared" si="14"/>
        <v>20230302_16e-2nM_Gateun</v>
      </c>
      <c r="K58" s="6" t="str">
        <f t="shared" si="15"/>
        <v>20230302; CR9114 m.l.; 0.16nM mHA-PE; G: un</v>
      </c>
      <c r="L58" s="7">
        <v>57</v>
      </c>
      <c r="M58" s="7"/>
      <c r="N58" s="7">
        <v>57</v>
      </c>
      <c r="O58" s="22">
        <v>40.655000000000001</v>
      </c>
      <c r="P58" s="22">
        <f t="shared" si="5"/>
        <v>15.262</v>
      </c>
      <c r="Q58" s="28">
        <v>929215</v>
      </c>
      <c r="R58" s="43">
        <v>53.384</v>
      </c>
      <c r="T58" s="44">
        <f>R58*12</f>
        <v>640.60799999999995</v>
      </c>
      <c r="U58" s="22">
        <f t="shared" si="7"/>
        <v>1.8732204405814477</v>
      </c>
      <c r="V58" s="7">
        <v>57</v>
      </c>
      <c r="W58" s="6" t="s">
        <v>106</v>
      </c>
      <c r="X58" s="6" t="s">
        <v>47</v>
      </c>
      <c r="Y58" s="49" t="s">
        <v>135</v>
      </c>
      <c r="Z58" s="6" t="s">
        <v>31</v>
      </c>
      <c r="AA58" s="49" t="s">
        <v>107</v>
      </c>
    </row>
    <row r="59" spans="1:27" ht="16">
      <c r="A59" s="1">
        <v>20230302</v>
      </c>
      <c r="B59" s="1">
        <v>2</v>
      </c>
      <c r="C59" s="1">
        <v>0.16</v>
      </c>
      <c r="D59" s="4">
        <v>1</v>
      </c>
      <c r="E59" s="1" t="s">
        <v>147</v>
      </c>
      <c r="F59" s="1" t="str">
        <f t="shared" si="8"/>
        <v>2_0.16_1</v>
      </c>
      <c r="G59" s="1" t="str">
        <f t="shared" si="13"/>
        <v>20230302_0.16nM_Gate1</v>
      </c>
      <c r="H59" s="2" t="s">
        <v>9</v>
      </c>
      <c r="I59" s="1" t="str">
        <f t="shared" si="14"/>
        <v>20230302_16e-2nM_Gate1</v>
      </c>
      <c r="K59" s="6" t="str">
        <f t="shared" si="15"/>
        <v>20230302; CR9114 m.l.; 0.16nM mHA-PE; G: 1</v>
      </c>
      <c r="L59" s="7">
        <v>58</v>
      </c>
      <c r="M59" s="7"/>
      <c r="N59" s="7">
        <v>58</v>
      </c>
      <c r="O59" s="22">
        <v>15.547000000000001</v>
      </c>
      <c r="P59" s="22">
        <f t="shared" si="5"/>
        <v>5.2187999999999999</v>
      </c>
      <c r="Q59" s="28">
        <v>110903</v>
      </c>
      <c r="R59" s="43">
        <v>25.475999999999999</v>
      </c>
      <c r="T59" s="44">
        <f t="shared" si="6"/>
        <v>305.71199999999999</v>
      </c>
      <c r="U59" s="22">
        <f t="shared" si="7"/>
        <v>3.9252629926205058</v>
      </c>
      <c r="V59" s="7">
        <v>58</v>
      </c>
      <c r="W59" s="6" t="s">
        <v>106</v>
      </c>
      <c r="X59" s="6" t="s">
        <v>47</v>
      </c>
      <c r="Y59" s="49" t="s">
        <v>135</v>
      </c>
      <c r="Z59" s="6" t="s">
        <v>32</v>
      </c>
      <c r="AA59" s="49" t="s">
        <v>108</v>
      </c>
    </row>
    <row r="60" spans="1:27" ht="16">
      <c r="A60" s="1">
        <v>20230302</v>
      </c>
      <c r="B60" s="1">
        <v>2</v>
      </c>
      <c r="C60" s="1">
        <v>0.16</v>
      </c>
      <c r="D60" s="5">
        <v>2</v>
      </c>
      <c r="E60" s="1" t="s">
        <v>148</v>
      </c>
      <c r="F60" s="1" t="str">
        <f t="shared" si="8"/>
        <v>2_0.16_2</v>
      </c>
      <c r="G60" s="1" t="str">
        <f t="shared" si="13"/>
        <v>20230302_0.16nM_Gate2</v>
      </c>
      <c r="H60" s="2" t="s">
        <v>9</v>
      </c>
      <c r="I60" s="1" t="str">
        <f t="shared" si="14"/>
        <v>20230302_16e-2nM_Gate2</v>
      </c>
      <c r="K60" s="6" t="str">
        <f t="shared" si="15"/>
        <v>20230302; CR9114 m.l.; 0.16nM mHA-PE; G: 2</v>
      </c>
      <c r="L60" s="7">
        <v>59</v>
      </c>
      <c r="M60" s="7"/>
      <c r="N60" s="7">
        <v>59</v>
      </c>
      <c r="O60" s="22">
        <v>22.939</v>
      </c>
      <c r="P60" s="22">
        <f t="shared" si="5"/>
        <v>8.1755999999999993</v>
      </c>
      <c r="Q60" s="28">
        <v>52801</v>
      </c>
      <c r="R60" s="43">
        <v>44.180999999999997</v>
      </c>
      <c r="T60" s="44">
        <f t="shared" si="6"/>
        <v>530.17200000000003</v>
      </c>
      <c r="U60" s="22">
        <f t="shared" si="7"/>
        <v>2.2634164007152395</v>
      </c>
      <c r="V60" s="7">
        <v>59</v>
      </c>
      <c r="W60" s="6" t="s">
        <v>106</v>
      </c>
      <c r="X60" s="6" t="s">
        <v>47</v>
      </c>
      <c r="Y60" s="49" t="s">
        <v>135</v>
      </c>
      <c r="Z60" s="6" t="s">
        <v>33</v>
      </c>
      <c r="AA60" s="49" t="s">
        <v>109</v>
      </c>
    </row>
    <row r="61" spans="1:27" ht="16">
      <c r="A61" s="1">
        <v>20230302</v>
      </c>
      <c r="B61" s="1">
        <v>2</v>
      </c>
      <c r="C61" s="1">
        <v>0.16</v>
      </c>
      <c r="D61" s="5">
        <v>3</v>
      </c>
      <c r="E61" s="1" t="s">
        <v>149</v>
      </c>
      <c r="F61" s="1" t="str">
        <f t="shared" si="8"/>
        <v>2_0.16_3</v>
      </c>
      <c r="G61" s="1" t="str">
        <f t="shared" si="13"/>
        <v>20230302_0.16nM_Gate3</v>
      </c>
      <c r="H61" s="2" t="s">
        <v>9</v>
      </c>
      <c r="I61" s="1" t="str">
        <f t="shared" si="14"/>
        <v>20230302_16e-2nM_Gate3</v>
      </c>
      <c r="K61" s="6" t="str">
        <f t="shared" si="15"/>
        <v>20230302; CR9114 m.l.; 0.16nM mHA-PE; G: 3</v>
      </c>
      <c r="L61" s="7">
        <v>60</v>
      </c>
      <c r="M61" s="7"/>
      <c r="N61" s="7">
        <v>60</v>
      </c>
      <c r="O61" s="22">
        <v>28.954999999999998</v>
      </c>
      <c r="P61" s="22">
        <f t="shared" si="5"/>
        <v>10.581999999999999</v>
      </c>
      <c r="Q61" s="28">
        <v>1172</v>
      </c>
      <c r="R61" s="43">
        <v>37.1</v>
      </c>
      <c r="T61" s="44">
        <f t="shared" si="6"/>
        <v>445.20000000000005</v>
      </c>
      <c r="U61" s="22">
        <f t="shared" si="7"/>
        <v>2.6954177897574123</v>
      </c>
      <c r="V61" s="7">
        <v>60</v>
      </c>
      <c r="W61" s="6" t="s">
        <v>106</v>
      </c>
      <c r="X61" s="6" t="s">
        <v>47</v>
      </c>
      <c r="Y61" s="49" t="s">
        <v>135</v>
      </c>
      <c r="Z61" s="6" t="s">
        <v>34</v>
      </c>
      <c r="AA61" s="49" t="s">
        <v>110</v>
      </c>
    </row>
    <row r="62" spans="1:27" ht="16">
      <c r="A62" s="1">
        <v>20230302</v>
      </c>
      <c r="B62" s="1">
        <v>2</v>
      </c>
      <c r="C62" s="1">
        <v>0.05</v>
      </c>
      <c r="D62" s="5" t="s">
        <v>18</v>
      </c>
      <c r="E62" s="1" t="s">
        <v>52</v>
      </c>
      <c r="F62" s="1" t="str">
        <f t="shared" si="8"/>
        <v>2_0.05_un</v>
      </c>
      <c r="G62" s="1" t="str">
        <f t="shared" si="13"/>
        <v>20230302_0.05nM_Gateun</v>
      </c>
      <c r="H62" s="2" t="s">
        <v>10</v>
      </c>
      <c r="I62" s="1" t="str">
        <f t="shared" si="14"/>
        <v>20230302_5e-2nM_Gateun</v>
      </c>
      <c r="K62" s="6" t="str">
        <f t="shared" si="15"/>
        <v>20230302; CR9114 m.l.; 0.05nM mHA-PE; G: un</v>
      </c>
      <c r="L62" s="7">
        <v>61</v>
      </c>
      <c r="M62" s="7"/>
      <c r="N62" s="26">
        <v>61</v>
      </c>
      <c r="O62" s="27">
        <v>39.5</v>
      </c>
      <c r="P62" s="22">
        <f t="shared" si="5"/>
        <v>14.8</v>
      </c>
      <c r="Q62">
        <v>1017089</v>
      </c>
      <c r="R62" s="43">
        <v>12.894</v>
      </c>
      <c r="T62" s="44">
        <f t="shared" si="6"/>
        <v>154.72800000000001</v>
      </c>
      <c r="U62" s="22">
        <f t="shared" si="7"/>
        <v>7.7555452148286026</v>
      </c>
      <c r="V62" s="7">
        <v>61</v>
      </c>
      <c r="W62" s="6" t="s">
        <v>106</v>
      </c>
      <c r="X62" s="6" t="s">
        <v>47</v>
      </c>
      <c r="Y62" s="49" t="s">
        <v>135</v>
      </c>
      <c r="Z62" s="6" t="s">
        <v>35</v>
      </c>
      <c r="AA62" s="49" t="s">
        <v>111</v>
      </c>
    </row>
    <row r="63" spans="1:27" ht="16">
      <c r="A63" s="1">
        <v>20230302</v>
      </c>
      <c r="B63" s="1">
        <v>2</v>
      </c>
      <c r="C63" s="1">
        <v>0.05</v>
      </c>
      <c r="D63" s="4">
        <v>1</v>
      </c>
      <c r="E63" s="1" t="s">
        <v>147</v>
      </c>
      <c r="F63" s="1" t="str">
        <f t="shared" si="8"/>
        <v>2_0.05_1</v>
      </c>
      <c r="G63" s="1" t="str">
        <f t="shared" si="13"/>
        <v>20230302_0.05nM_Gate1</v>
      </c>
      <c r="H63" s="2" t="s">
        <v>10</v>
      </c>
      <c r="I63" s="1" t="str">
        <f t="shared" si="14"/>
        <v>20230302_5e-2nM_Gate1</v>
      </c>
      <c r="K63" s="6" t="str">
        <f t="shared" si="15"/>
        <v>20230302; CR9114 m.l.; 0.05nM mHA-PE; G: 1</v>
      </c>
      <c r="L63" s="7">
        <v>62</v>
      </c>
      <c r="M63" s="7"/>
      <c r="N63" s="7">
        <v>62</v>
      </c>
      <c r="O63" s="22">
        <v>22.896000000000001</v>
      </c>
      <c r="P63" s="22">
        <f t="shared" si="5"/>
        <v>8.1584000000000003</v>
      </c>
      <c r="Q63" s="28">
        <v>67864</v>
      </c>
      <c r="R63" s="43">
        <v>38.753</v>
      </c>
      <c r="T63" s="44">
        <f t="shared" si="6"/>
        <v>465.036</v>
      </c>
      <c r="U63" s="22">
        <f t="shared" si="7"/>
        <v>2.5804453848734292</v>
      </c>
      <c r="V63" s="7">
        <v>62</v>
      </c>
      <c r="W63" s="6" t="s">
        <v>106</v>
      </c>
      <c r="X63" s="6" t="s">
        <v>47</v>
      </c>
      <c r="Y63" s="49" t="s">
        <v>135</v>
      </c>
      <c r="Z63" s="6" t="s">
        <v>36</v>
      </c>
      <c r="AA63" s="49" t="s">
        <v>112</v>
      </c>
    </row>
    <row r="64" spans="1:27" ht="16">
      <c r="A64" s="1">
        <v>20230302</v>
      </c>
      <c r="B64" s="1">
        <v>2</v>
      </c>
      <c r="C64" s="1">
        <v>0.05</v>
      </c>
      <c r="D64" s="5">
        <v>2</v>
      </c>
      <c r="E64" s="1" t="s">
        <v>148</v>
      </c>
      <c r="F64" s="1" t="str">
        <f t="shared" si="8"/>
        <v>2_0.05_2</v>
      </c>
      <c r="G64" s="1" t="str">
        <f t="shared" si="13"/>
        <v>20230302_0.05nM_Gate2</v>
      </c>
      <c r="H64" s="2" t="s">
        <v>10</v>
      </c>
      <c r="I64" s="1" t="str">
        <f t="shared" si="14"/>
        <v>20230302_5e-2nM_Gate2</v>
      </c>
      <c r="K64" s="6" t="str">
        <f t="shared" si="15"/>
        <v>20230302; CR9114 m.l.; 0.05nM mHA-PE; G: 2</v>
      </c>
      <c r="L64" s="7">
        <v>63</v>
      </c>
      <c r="M64" s="7"/>
      <c r="N64" s="7">
        <v>63</v>
      </c>
      <c r="O64" s="22">
        <v>12.101000000000001</v>
      </c>
      <c r="P64" s="22">
        <f t="shared" si="5"/>
        <v>3.8404000000000007</v>
      </c>
      <c r="Q64" s="28">
        <v>4119</v>
      </c>
      <c r="R64" s="43">
        <v>28.658999999999999</v>
      </c>
      <c r="S64" s="43"/>
      <c r="T64" s="44">
        <f t="shared" si="6"/>
        <v>343.90800000000002</v>
      </c>
      <c r="U64" s="22">
        <f t="shared" si="7"/>
        <v>3.4893052793188879</v>
      </c>
      <c r="V64" s="7">
        <v>63</v>
      </c>
      <c r="W64" s="6" t="s">
        <v>106</v>
      </c>
      <c r="X64" s="6" t="s">
        <v>47</v>
      </c>
      <c r="Y64" s="49" t="s">
        <v>135</v>
      </c>
      <c r="Z64" s="6" t="s">
        <v>37</v>
      </c>
      <c r="AA64" s="49" t="s">
        <v>113</v>
      </c>
    </row>
    <row r="65" spans="1:27" ht="16">
      <c r="A65" s="1">
        <v>20230302</v>
      </c>
      <c r="B65" s="1">
        <v>2</v>
      </c>
      <c r="C65" s="1">
        <v>0.05</v>
      </c>
      <c r="D65" s="5">
        <v>3</v>
      </c>
      <c r="E65" s="1" t="s">
        <v>149</v>
      </c>
      <c r="F65" s="1" t="str">
        <f t="shared" si="8"/>
        <v>2_0.05_3</v>
      </c>
      <c r="G65" s="1" t="str">
        <f t="shared" si="13"/>
        <v>20230302_0.05nM_Gate3</v>
      </c>
      <c r="H65" s="2" t="s">
        <v>10</v>
      </c>
      <c r="I65" s="1" t="str">
        <f t="shared" si="14"/>
        <v>20230302_5e-2nM_Gate3</v>
      </c>
      <c r="K65" s="6" t="str">
        <f t="shared" si="15"/>
        <v>20230302; CR9114 m.l.; 0.05nM mHA-PE; G: 3</v>
      </c>
      <c r="L65" s="7">
        <v>64</v>
      </c>
      <c r="M65" s="7"/>
      <c r="N65" s="26">
        <v>64</v>
      </c>
      <c r="O65" s="27">
        <v>36.700000000000003</v>
      </c>
      <c r="P65" s="22">
        <f>(O65/2.5)-1</f>
        <v>13.680000000000001</v>
      </c>
      <c r="Q65" s="28">
        <v>7</v>
      </c>
      <c r="R65" s="43">
        <v>15.423</v>
      </c>
      <c r="S65" s="43">
        <v>0.219</v>
      </c>
      <c r="T65" s="44">
        <f t="shared" si="6"/>
        <v>185.07599999999999</v>
      </c>
      <c r="U65" s="22">
        <f t="shared" si="7"/>
        <v>6.4838228619594114</v>
      </c>
      <c r="V65" s="7">
        <v>64</v>
      </c>
      <c r="W65" s="6" t="s">
        <v>106</v>
      </c>
      <c r="X65" s="6" t="s">
        <v>47</v>
      </c>
      <c r="Y65" s="49" t="s">
        <v>135</v>
      </c>
      <c r="Z65" s="6" t="s">
        <v>38</v>
      </c>
      <c r="AA65" s="49" t="s">
        <v>114</v>
      </c>
    </row>
    <row r="66" spans="1:27" ht="16">
      <c r="A66" s="1">
        <v>20230302</v>
      </c>
      <c r="B66" s="1">
        <v>2</v>
      </c>
      <c r="C66" s="1">
        <v>1.6E-2</v>
      </c>
      <c r="D66" s="5" t="s">
        <v>18</v>
      </c>
      <c r="E66" s="1" t="s">
        <v>52</v>
      </c>
      <c r="F66" s="1" t="str">
        <f t="shared" ref="F66:F81" si="16">CONCATENATE(B66,"_",C66,"_",D66)</f>
        <v>2_0.016_un</v>
      </c>
      <c r="G66" s="1" t="str">
        <f t="shared" si="13"/>
        <v>20230302_0.016nM_Gateun</v>
      </c>
      <c r="H66" s="2" t="s">
        <v>11</v>
      </c>
      <c r="I66" s="1" t="str">
        <f t="shared" si="14"/>
        <v>20230302_16e-3nM_Gateun</v>
      </c>
      <c r="K66" s="6" t="str">
        <f t="shared" si="15"/>
        <v>20230302; CR9114 m.l.; 0.016nM mHA-PE; G: un</v>
      </c>
      <c r="L66" s="7">
        <v>65</v>
      </c>
      <c r="M66" s="7"/>
      <c r="N66" s="7">
        <v>65</v>
      </c>
      <c r="O66" s="22">
        <v>42.38</v>
      </c>
      <c r="P66" s="22">
        <f t="shared" si="5"/>
        <v>15.952000000000002</v>
      </c>
      <c r="Q66" s="28">
        <v>939101</v>
      </c>
      <c r="R66" s="43">
        <v>46.78</v>
      </c>
      <c r="S66" s="43"/>
      <c r="T66" s="44">
        <f t="shared" si="6"/>
        <v>561.36</v>
      </c>
      <c r="U66" s="22">
        <f t="shared" si="7"/>
        <v>2.1376656690893543</v>
      </c>
      <c r="V66" s="7">
        <v>65</v>
      </c>
      <c r="W66" s="6" t="s">
        <v>106</v>
      </c>
      <c r="X66" s="6" t="s">
        <v>48</v>
      </c>
      <c r="Y66" s="49" t="s">
        <v>137</v>
      </c>
      <c r="Z66" s="6" t="s">
        <v>31</v>
      </c>
      <c r="AA66" s="49" t="s">
        <v>107</v>
      </c>
    </row>
    <row r="67" spans="1:27" ht="16">
      <c r="A67" s="1">
        <v>20230302</v>
      </c>
      <c r="B67" s="1">
        <v>2</v>
      </c>
      <c r="C67" s="1">
        <v>1.6E-2</v>
      </c>
      <c r="D67" s="4">
        <v>1</v>
      </c>
      <c r="E67" s="1" t="s">
        <v>147</v>
      </c>
      <c r="F67" s="1" t="str">
        <f t="shared" si="16"/>
        <v>2_0.016_1</v>
      </c>
      <c r="G67" s="1" t="str">
        <f t="shared" si="13"/>
        <v>20230302_0.016nM_Gate1</v>
      </c>
      <c r="H67" s="2" t="s">
        <v>11</v>
      </c>
      <c r="I67" s="1" t="str">
        <f t="shared" si="14"/>
        <v>20230302_16e-3nM_Gate1</v>
      </c>
      <c r="K67" s="6" t="str">
        <f t="shared" si="15"/>
        <v>20230302; CR9114 m.l.; 0.016nM mHA-PE; G: 1</v>
      </c>
      <c r="L67" s="7">
        <v>66</v>
      </c>
      <c r="M67" s="7"/>
      <c r="N67" s="7">
        <v>66</v>
      </c>
      <c r="O67" s="22">
        <v>29.661000000000001</v>
      </c>
      <c r="P67" s="22">
        <f t="shared" ref="P67:P75" si="17">(O67/2.5)-1</f>
        <v>10.8644</v>
      </c>
      <c r="Q67" s="28">
        <v>17948</v>
      </c>
      <c r="R67" s="43">
        <v>52.094999999999999</v>
      </c>
      <c r="T67" s="44">
        <f t="shared" ref="T67:T72" si="18">R67*12</f>
        <v>625.14</v>
      </c>
      <c r="U67" s="22">
        <f t="shared" ref="U67:U82" si="19">100/R67</f>
        <v>1.9195700163163452</v>
      </c>
      <c r="V67" s="7">
        <v>66</v>
      </c>
      <c r="W67" s="6" t="s">
        <v>106</v>
      </c>
      <c r="X67" s="6" t="s">
        <v>48</v>
      </c>
      <c r="Y67" s="49" t="s">
        <v>137</v>
      </c>
      <c r="Z67" s="6" t="s">
        <v>32</v>
      </c>
      <c r="AA67" s="49" t="s">
        <v>108</v>
      </c>
    </row>
    <row r="68" spans="1:27" ht="16">
      <c r="A68" s="1">
        <v>20230302</v>
      </c>
      <c r="B68" s="1">
        <v>2</v>
      </c>
      <c r="C68" s="1">
        <v>1.6E-2</v>
      </c>
      <c r="D68" s="5">
        <v>2</v>
      </c>
      <c r="E68" s="1" t="s">
        <v>148</v>
      </c>
      <c r="F68" s="1" t="str">
        <f t="shared" si="16"/>
        <v>2_0.016_2</v>
      </c>
      <c r="G68" s="1" t="str">
        <f t="shared" si="13"/>
        <v>20230302_0.016nM_Gate2</v>
      </c>
      <c r="H68" s="2" t="s">
        <v>11</v>
      </c>
      <c r="I68" s="1" t="str">
        <f t="shared" si="14"/>
        <v>20230302_16e-3nM_Gate2</v>
      </c>
      <c r="K68" s="6" t="str">
        <f t="shared" si="15"/>
        <v>20230302; CR9114 m.l.; 0.016nM mHA-PE; G: 2</v>
      </c>
      <c r="L68" s="7">
        <v>67</v>
      </c>
      <c r="M68" s="7"/>
      <c r="N68" s="7">
        <v>67</v>
      </c>
      <c r="O68" s="22">
        <v>12.875</v>
      </c>
      <c r="P68" s="22">
        <f t="shared" si="17"/>
        <v>4.1500000000000004</v>
      </c>
      <c r="Q68" s="12">
        <v>58</v>
      </c>
      <c r="R68" s="43">
        <v>8.9860000000000007</v>
      </c>
      <c r="S68" s="43">
        <v>6.1790000000000003</v>
      </c>
      <c r="T68" s="44">
        <f t="shared" si="18"/>
        <v>107.83200000000001</v>
      </c>
      <c r="U68" s="22">
        <f t="shared" si="19"/>
        <v>11.128421989761851</v>
      </c>
      <c r="V68" s="7">
        <v>67</v>
      </c>
      <c r="W68" s="6" t="s">
        <v>106</v>
      </c>
      <c r="X68" s="6" t="s">
        <v>48</v>
      </c>
      <c r="Y68" s="49" t="s">
        <v>137</v>
      </c>
      <c r="Z68" s="6" t="s">
        <v>33</v>
      </c>
      <c r="AA68" s="49" t="s">
        <v>109</v>
      </c>
    </row>
    <row r="69" spans="1:27" ht="16">
      <c r="A69" s="1">
        <v>20230302</v>
      </c>
      <c r="B69" s="1">
        <v>2</v>
      </c>
      <c r="C69" s="1">
        <v>1.6E-2</v>
      </c>
      <c r="D69" s="5">
        <v>3</v>
      </c>
      <c r="E69" s="1" t="s">
        <v>149</v>
      </c>
      <c r="F69" s="1" t="str">
        <f t="shared" si="16"/>
        <v>2_0.016_3</v>
      </c>
      <c r="G69" s="1" t="str">
        <f t="shared" si="13"/>
        <v>20230302_0.016nM_Gate3</v>
      </c>
      <c r="H69" s="2" t="s">
        <v>11</v>
      </c>
      <c r="I69" s="1" t="str">
        <f t="shared" si="14"/>
        <v>20230302_16e-3nM_Gate3</v>
      </c>
      <c r="K69" s="6" t="str">
        <f t="shared" si="15"/>
        <v>20230302; CR9114 m.l.; 0.016nM mHA-PE; G: 3</v>
      </c>
      <c r="L69" s="7">
        <v>68</v>
      </c>
      <c r="M69" s="7"/>
      <c r="N69" s="26">
        <v>68</v>
      </c>
      <c r="O69" s="27"/>
      <c r="P69" s="22">
        <f t="shared" si="17"/>
        <v>-1</v>
      </c>
      <c r="Q69">
        <v>1</v>
      </c>
      <c r="R69" s="43">
        <v>1.92</v>
      </c>
      <c r="S69" s="43"/>
      <c r="T69" s="44">
        <f t="shared" si="18"/>
        <v>23.04</v>
      </c>
      <c r="U69" s="22">
        <f t="shared" si="19"/>
        <v>52.083333333333336</v>
      </c>
      <c r="V69" s="7">
        <v>68</v>
      </c>
      <c r="W69" s="6" t="s">
        <v>106</v>
      </c>
      <c r="X69" s="6" t="s">
        <v>48</v>
      </c>
      <c r="Y69" s="49" t="s">
        <v>137</v>
      </c>
      <c r="Z69" s="6" t="s">
        <v>34</v>
      </c>
      <c r="AA69" s="49" t="s">
        <v>110</v>
      </c>
    </row>
    <row r="70" spans="1:27" ht="16">
      <c r="A70" s="1">
        <v>20230302</v>
      </c>
      <c r="B70" s="1">
        <v>2</v>
      </c>
      <c r="C70" s="1" t="s">
        <v>13</v>
      </c>
      <c r="D70" s="5" t="s">
        <v>18</v>
      </c>
      <c r="E70" s="1" t="s">
        <v>52</v>
      </c>
      <c r="F70" s="1" t="str">
        <f t="shared" si="16"/>
        <v>2_negative_un</v>
      </c>
      <c r="G70" s="1" t="str">
        <f t="shared" ref="G70:G77" si="20">CONCATENATE(A70,"_",C70,"_Gate",D70)</f>
        <v>20230302_negative_Gateun</v>
      </c>
      <c r="H70" s="2"/>
      <c r="I70" s="1" t="str">
        <f t="shared" ref="I70:I77" si="21">CONCATENATE(A70,"_",C70,"_Gate",D70)</f>
        <v>20230302_negative_Gateun</v>
      </c>
      <c r="K70" s="6" t="str">
        <f t="shared" ref="K70:K77" si="22">CONCATENATE(A70,"; CR9114 m.l.; ",C70,"; G: ",D70)</f>
        <v>20230302; CR9114 m.l.; negative; G: un</v>
      </c>
      <c r="L70" s="7">
        <v>69</v>
      </c>
      <c r="M70" s="7"/>
      <c r="N70" s="7">
        <v>69</v>
      </c>
      <c r="O70" s="22">
        <v>48.329000000000001</v>
      </c>
      <c r="P70" s="22">
        <f t="shared" si="17"/>
        <v>18.331600000000002</v>
      </c>
      <c r="Q70" s="28">
        <v>560665</v>
      </c>
      <c r="R70" s="43">
        <v>56.081000000000003</v>
      </c>
      <c r="T70" s="44">
        <f t="shared" si="18"/>
        <v>672.97199999999998</v>
      </c>
      <c r="U70" s="22">
        <f t="shared" si="19"/>
        <v>1.7831351081471443</v>
      </c>
      <c r="V70" s="7">
        <v>69</v>
      </c>
      <c r="W70" s="6" t="s">
        <v>106</v>
      </c>
      <c r="X70" s="6" t="s">
        <v>48</v>
      </c>
      <c r="Y70" s="49" t="s">
        <v>137</v>
      </c>
      <c r="Z70" s="6" t="s">
        <v>35</v>
      </c>
      <c r="AA70" s="49" t="s">
        <v>111</v>
      </c>
    </row>
    <row r="71" spans="1:27" ht="16">
      <c r="A71" s="1">
        <v>20230302</v>
      </c>
      <c r="B71" s="1">
        <v>2</v>
      </c>
      <c r="C71" s="1" t="s">
        <v>13</v>
      </c>
      <c r="D71" s="4">
        <v>1</v>
      </c>
      <c r="E71" s="1" t="s">
        <v>147</v>
      </c>
      <c r="F71" s="1" t="str">
        <f t="shared" si="16"/>
        <v>2_negative_1</v>
      </c>
      <c r="G71" s="1" t="str">
        <f t="shared" si="20"/>
        <v>20230302_negative_Gate1</v>
      </c>
      <c r="H71" s="2"/>
      <c r="I71" s="1" t="str">
        <f t="shared" si="21"/>
        <v>20230302_negative_Gate1</v>
      </c>
      <c r="K71" s="6" t="str">
        <f t="shared" si="22"/>
        <v>20230302; CR9114 m.l.; negative; G: 1</v>
      </c>
      <c r="L71" s="7">
        <v>70</v>
      </c>
      <c r="M71" s="7"/>
      <c r="N71" s="7">
        <v>70</v>
      </c>
      <c r="O71" s="22">
        <v>29.619</v>
      </c>
      <c r="P71" s="22">
        <f t="shared" si="17"/>
        <v>10.8476</v>
      </c>
      <c r="Q71" s="12">
        <v>110</v>
      </c>
      <c r="R71" s="43">
        <v>39.854999999999997</v>
      </c>
      <c r="T71" s="44">
        <f t="shared" si="18"/>
        <v>478.26</v>
      </c>
      <c r="U71" s="22">
        <f t="shared" si="19"/>
        <v>2.5090954710826749</v>
      </c>
      <c r="V71" s="7">
        <v>70</v>
      </c>
      <c r="W71" s="6" t="s">
        <v>106</v>
      </c>
      <c r="X71" s="6" t="s">
        <v>48</v>
      </c>
      <c r="Y71" s="49" t="s">
        <v>137</v>
      </c>
      <c r="Z71" s="6" t="s">
        <v>36</v>
      </c>
      <c r="AA71" s="49" t="s">
        <v>112</v>
      </c>
    </row>
    <row r="72" spans="1:27" ht="16">
      <c r="A72" s="1">
        <v>20230302</v>
      </c>
      <c r="B72" s="1">
        <v>2</v>
      </c>
      <c r="C72" s="1" t="s">
        <v>13</v>
      </c>
      <c r="D72" s="5">
        <v>2</v>
      </c>
      <c r="E72" s="1" t="s">
        <v>148</v>
      </c>
      <c r="F72" s="1" t="str">
        <f t="shared" si="16"/>
        <v>2_negative_2</v>
      </c>
      <c r="G72" s="1" t="str">
        <f t="shared" si="20"/>
        <v>20230302_negative_Gate2</v>
      </c>
      <c r="H72" s="2"/>
      <c r="I72" s="1" t="str">
        <f t="shared" si="21"/>
        <v>20230302_negative_Gate2</v>
      </c>
      <c r="K72" s="6" t="str">
        <f t="shared" si="22"/>
        <v>20230302; CR9114 m.l.; negative; G: 2</v>
      </c>
      <c r="L72" s="7">
        <v>71</v>
      </c>
      <c r="M72" s="7"/>
      <c r="N72" s="7">
        <v>71</v>
      </c>
      <c r="O72" s="22">
        <v>13.262</v>
      </c>
      <c r="P72" s="22">
        <f t="shared" si="17"/>
        <v>4.3048000000000002</v>
      </c>
      <c r="Q72" s="28">
        <v>37</v>
      </c>
      <c r="R72" s="43">
        <v>13.375</v>
      </c>
      <c r="T72" s="44">
        <f t="shared" si="18"/>
        <v>160.5</v>
      </c>
      <c r="U72" s="22">
        <f t="shared" si="19"/>
        <v>7.4766355140186915</v>
      </c>
      <c r="V72" s="7">
        <v>71</v>
      </c>
      <c r="W72" s="6" t="s">
        <v>106</v>
      </c>
      <c r="X72" s="6" t="s">
        <v>48</v>
      </c>
      <c r="Y72" s="49" t="s">
        <v>137</v>
      </c>
      <c r="Z72" s="6" t="s">
        <v>37</v>
      </c>
      <c r="AA72" s="49" t="s">
        <v>113</v>
      </c>
    </row>
    <row r="73" spans="1:27" ht="16">
      <c r="A73" s="1">
        <v>20230302</v>
      </c>
      <c r="B73" s="1">
        <v>2</v>
      </c>
      <c r="C73" s="1" t="s">
        <v>13</v>
      </c>
      <c r="D73" s="5">
        <v>3</v>
      </c>
      <c r="E73" s="1" t="s">
        <v>149</v>
      </c>
      <c r="F73" s="1" t="str">
        <f t="shared" si="16"/>
        <v>2_negative_3</v>
      </c>
      <c r="G73" s="1" t="str">
        <f t="shared" si="20"/>
        <v>20230302_negative_Gate3</v>
      </c>
      <c r="H73" s="2"/>
      <c r="I73" s="1" t="str">
        <f t="shared" si="21"/>
        <v>20230302_negative_Gate3</v>
      </c>
      <c r="K73" s="6" t="str">
        <f t="shared" si="22"/>
        <v>20230302; CR9114 m.l.; negative; G: 3</v>
      </c>
      <c r="L73" s="7">
        <v>72</v>
      </c>
      <c r="M73" s="7"/>
      <c r="N73" s="7">
        <v>72</v>
      </c>
      <c r="O73" s="22">
        <v>12.481999999999999</v>
      </c>
      <c r="P73" s="22">
        <f t="shared" si="17"/>
        <v>3.9927999999999999</v>
      </c>
      <c r="Q73" s="28">
        <v>27</v>
      </c>
      <c r="R73" s="43">
        <v>10.403</v>
      </c>
      <c r="T73" s="44">
        <f>R73*12</f>
        <v>124.83600000000001</v>
      </c>
      <c r="U73" s="22">
        <f t="shared" si="19"/>
        <v>9.6126117466115542</v>
      </c>
      <c r="V73" s="7">
        <v>72</v>
      </c>
      <c r="W73" s="6" t="s">
        <v>106</v>
      </c>
      <c r="X73" s="6" t="s">
        <v>48</v>
      </c>
      <c r="Y73" s="49" t="s">
        <v>137</v>
      </c>
      <c r="Z73" s="6" t="s">
        <v>38</v>
      </c>
      <c r="AA73" s="49" t="s">
        <v>114</v>
      </c>
    </row>
    <row r="74" spans="1:27" ht="16">
      <c r="A74" s="1">
        <v>20230302</v>
      </c>
      <c r="B74" s="1">
        <v>2</v>
      </c>
      <c r="C74" s="1" t="s">
        <v>14</v>
      </c>
      <c r="D74" s="5" t="s">
        <v>18</v>
      </c>
      <c r="E74" s="1" t="s">
        <v>52</v>
      </c>
      <c r="F74" s="1" t="str">
        <f t="shared" si="16"/>
        <v>2_Hatag_un</v>
      </c>
      <c r="G74" s="1" t="str">
        <f t="shared" si="20"/>
        <v>20230302_Hatag_Gateun</v>
      </c>
      <c r="H74" s="2"/>
      <c r="I74" s="1" t="str">
        <f t="shared" si="21"/>
        <v>20230302_Hatag_Gateun</v>
      </c>
      <c r="K74" s="6" t="str">
        <f t="shared" si="22"/>
        <v>20230302; CR9114 m.l.; Hatag; G: un</v>
      </c>
      <c r="L74" s="7">
        <v>73</v>
      </c>
      <c r="M74" s="7"/>
      <c r="N74" s="7">
        <v>73</v>
      </c>
      <c r="O74" s="22">
        <v>17.696999999999999</v>
      </c>
      <c r="P74" s="22">
        <f t="shared" si="17"/>
        <v>6.0787999999999993</v>
      </c>
      <c r="Q74" s="28">
        <v>505584</v>
      </c>
      <c r="R74" s="43">
        <v>35.442</v>
      </c>
      <c r="T74" s="44">
        <f t="shared" ref="T74:T82" si="23">R74*12</f>
        <v>425.30399999999997</v>
      </c>
      <c r="U74" s="22">
        <f t="shared" si="19"/>
        <v>2.8215112013994696</v>
      </c>
      <c r="V74" s="7">
        <v>73</v>
      </c>
      <c r="W74" s="6" t="s">
        <v>106</v>
      </c>
      <c r="X74" s="6" t="s">
        <v>49</v>
      </c>
      <c r="Y74" s="49" t="s">
        <v>139</v>
      </c>
      <c r="Z74" s="6" t="s">
        <v>31</v>
      </c>
      <c r="AA74" s="49" t="s">
        <v>107</v>
      </c>
    </row>
    <row r="75" spans="1:27" ht="16">
      <c r="A75" s="1">
        <v>20230302</v>
      </c>
      <c r="B75" s="1">
        <v>2</v>
      </c>
      <c r="C75" s="1" t="s">
        <v>14</v>
      </c>
      <c r="D75" s="4">
        <v>1</v>
      </c>
      <c r="E75" s="1" t="s">
        <v>147</v>
      </c>
      <c r="F75" s="1" t="str">
        <f t="shared" si="16"/>
        <v>2_Hatag_1</v>
      </c>
      <c r="G75" s="1" t="str">
        <f t="shared" si="20"/>
        <v>20230302_Hatag_Gate1</v>
      </c>
      <c r="H75" s="2"/>
      <c r="I75" s="1" t="str">
        <f t="shared" si="21"/>
        <v>20230302_Hatag_Gate1</v>
      </c>
      <c r="K75" s="6" t="str">
        <f t="shared" si="22"/>
        <v>20230302; CR9114 m.l.; Hatag; G: 1</v>
      </c>
      <c r="L75" s="7">
        <v>74</v>
      </c>
      <c r="M75" s="7"/>
      <c r="N75" s="7">
        <v>74</v>
      </c>
      <c r="O75" s="22">
        <v>26.521999999999998</v>
      </c>
      <c r="P75" s="22">
        <f t="shared" si="17"/>
        <v>9.6087999999999987</v>
      </c>
      <c r="Q75" s="28">
        <v>75476</v>
      </c>
      <c r="R75" s="43">
        <v>33.21</v>
      </c>
      <c r="T75" s="44">
        <f t="shared" si="23"/>
        <v>398.52</v>
      </c>
      <c r="U75" s="22">
        <f t="shared" si="19"/>
        <v>3.011141222523336</v>
      </c>
      <c r="V75" s="7">
        <v>74</v>
      </c>
      <c r="W75" s="6" t="s">
        <v>106</v>
      </c>
      <c r="X75" s="6" t="s">
        <v>49</v>
      </c>
      <c r="Y75" s="49" t="s">
        <v>139</v>
      </c>
      <c r="Z75" s="6" t="s">
        <v>32</v>
      </c>
      <c r="AA75" s="49" t="s">
        <v>108</v>
      </c>
    </row>
    <row r="76" spans="1:27" ht="16">
      <c r="A76" s="1">
        <v>20230302</v>
      </c>
      <c r="B76" s="1">
        <v>2</v>
      </c>
      <c r="C76" s="1" t="s">
        <v>14</v>
      </c>
      <c r="D76" s="5">
        <v>2</v>
      </c>
      <c r="E76" s="1" t="s">
        <v>148</v>
      </c>
      <c r="F76" s="1" t="str">
        <f t="shared" si="16"/>
        <v>2_Hatag_2</v>
      </c>
      <c r="G76" s="1" t="str">
        <f t="shared" si="20"/>
        <v>20230302_Hatag_Gate2</v>
      </c>
      <c r="H76" s="2"/>
      <c r="I76" s="1" t="str">
        <f t="shared" si="21"/>
        <v>20230302_Hatag_Gate2</v>
      </c>
      <c r="K76" s="6" t="str">
        <f t="shared" si="22"/>
        <v>20230302; CR9114 m.l.; Hatag; G: 2</v>
      </c>
      <c r="L76" s="7">
        <v>75</v>
      </c>
      <c r="M76" s="7"/>
      <c r="N76" s="7">
        <v>75</v>
      </c>
      <c r="O76" s="22">
        <v>41.662999999999997</v>
      </c>
      <c r="P76" s="22">
        <f>(O76/2.5)-1</f>
        <v>15.665199999999999</v>
      </c>
      <c r="Q76" s="28">
        <v>171844</v>
      </c>
      <c r="R76" s="43">
        <v>46.645000000000003</v>
      </c>
      <c r="T76" s="44">
        <f t="shared" si="23"/>
        <v>559.74</v>
      </c>
      <c r="U76" s="22">
        <f t="shared" si="19"/>
        <v>2.1438525029477971</v>
      </c>
      <c r="V76" s="7">
        <v>75</v>
      </c>
      <c r="W76" s="6" t="s">
        <v>106</v>
      </c>
      <c r="X76" s="6" t="s">
        <v>49</v>
      </c>
      <c r="Y76" s="49" t="s">
        <v>139</v>
      </c>
      <c r="Z76" s="6" t="s">
        <v>33</v>
      </c>
      <c r="AA76" s="49" t="s">
        <v>109</v>
      </c>
    </row>
    <row r="77" spans="1:27" ht="16">
      <c r="A77" s="1">
        <v>20230302</v>
      </c>
      <c r="B77" s="1">
        <v>2</v>
      </c>
      <c r="C77" s="1" t="s">
        <v>14</v>
      </c>
      <c r="D77" s="5">
        <v>3</v>
      </c>
      <c r="E77" s="1" t="s">
        <v>149</v>
      </c>
      <c r="F77" s="1" t="str">
        <f t="shared" si="16"/>
        <v>2_Hatag_3</v>
      </c>
      <c r="G77" s="1" t="str">
        <f t="shared" si="20"/>
        <v>20230302_Hatag_Gate3</v>
      </c>
      <c r="H77" s="2"/>
      <c r="I77" s="1" t="str">
        <f t="shared" si="21"/>
        <v>20230302_Hatag_Gate3</v>
      </c>
      <c r="K77" s="6" t="str">
        <f t="shared" si="22"/>
        <v>20230302; CR9114 m.l.; Hatag; G: 3</v>
      </c>
      <c r="L77" s="7">
        <v>76</v>
      </c>
      <c r="M77" s="7"/>
      <c r="N77" s="7">
        <v>76</v>
      </c>
      <c r="O77" s="22">
        <v>48.948</v>
      </c>
      <c r="P77" s="22">
        <f t="shared" ref="P77:P80" si="24">(O77/2.5)-1</f>
        <v>18.5792</v>
      </c>
      <c r="Q77" s="28">
        <v>275426</v>
      </c>
      <c r="R77" s="43">
        <v>53.136000000000003</v>
      </c>
      <c r="T77" s="44">
        <f t="shared" si="23"/>
        <v>637.63200000000006</v>
      </c>
      <c r="U77" s="22">
        <f t="shared" si="19"/>
        <v>1.8819632640770851</v>
      </c>
      <c r="V77" s="7">
        <v>76</v>
      </c>
      <c r="W77" s="6" t="s">
        <v>106</v>
      </c>
      <c r="X77" s="6" t="s">
        <v>49</v>
      </c>
      <c r="Y77" s="49" t="s">
        <v>139</v>
      </c>
      <c r="Z77" s="6" t="s">
        <v>34</v>
      </c>
      <c r="AA77" s="49" t="s">
        <v>110</v>
      </c>
    </row>
    <row r="78" spans="1:27" ht="16">
      <c r="A78" s="1">
        <v>20230302</v>
      </c>
      <c r="B78" s="1">
        <v>2</v>
      </c>
      <c r="C78" s="1">
        <v>5.0000000000000001E-3</v>
      </c>
      <c r="D78" s="5" t="s">
        <v>18</v>
      </c>
      <c r="E78" s="1" t="s">
        <v>52</v>
      </c>
      <c r="F78" s="1" t="str">
        <f t="shared" si="16"/>
        <v>2_0.005_un</v>
      </c>
      <c r="G78" s="1" t="str">
        <f>CONCATENATE(A78,"_",C78,"nM_Gate",D78)</f>
        <v>20230302_0.005nM_Gateun</v>
      </c>
      <c r="H78" s="2" t="s">
        <v>12</v>
      </c>
      <c r="I78" s="1" t="str">
        <f>CONCATENATE(A78,"_",H78,"nM_Gate",D78)</f>
        <v>20230302_5e-3nM_Gateun</v>
      </c>
      <c r="K78" s="6" t="str">
        <f>CONCATENATE(A78,"; CR9114 m.l.; ",C78,"nM mHA-PE; G: ",D78)</f>
        <v>20230302; CR9114 m.l.; 0.005nM mHA-PE; G: un</v>
      </c>
      <c r="L78" s="7">
        <v>77</v>
      </c>
      <c r="M78" s="7"/>
      <c r="N78" s="7">
        <v>77</v>
      </c>
      <c r="O78" s="22">
        <v>22.221</v>
      </c>
      <c r="P78" s="22">
        <f t="shared" si="24"/>
        <v>7.8884000000000007</v>
      </c>
      <c r="Q78">
        <v>874262</v>
      </c>
      <c r="R78" s="43">
        <v>54.142000000000003</v>
      </c>
      <c r="T78" s="44">
        <f t="shared" si="23"/>
        <v>649.70400000000006</v>
      </c>
      <c r="U78" s="22">
        <f t="shared" si="19"/>
        <v>1.8469949392338665</v>
      </c>
      <c r="V78" s="7">
        <v>77</v>
      </c>
      <c r="W78" s="6" t="s">
        <v>106</v>
      </c>
      <c r="X78" s="6" t="s">
        <v>49</v>
      </c>
      <c r="Y78" s="49" t="s">
        <v>139</v>
      </c>
      <c r="Z78" s="6" t="s">
        <v>35</v>
      </c>
      <c r="AA78" s="49" t="s">
        <v>111</v>
      </c>
    </row>
    <row r="79" spans="1:27" ht="16">
      <c r="A79" s="1">
        <v>20230302</v>
      </c>
      <c r="B79" s="1">
        <v>2</v>
      </c>
      <c r="C79" s="1">
        <v>5.0000000000000001E-3</v>
      </c>
      <c r="D79" s="4">
        <v>1</v>
      </c>
      <c r="E79" s="1" t="s">
        <v>147</v>
      </c>
      <c r="F79" s="1" t="str">
        <f t="shared" si="16"/>
        <v>2_0.005_1</v>
      </c>
      <c r="G79" s="1" t="str">
        <f>CONCATENATE(A79,"_",C79,"nM_Gate",D79)</f>
        <v>20230302_0.005nM_Gate1</v>
      </c>
      <c r="H79" s="2" t="s">
        <v>12</v>
      </c>
      <c r="I79" s="1" t="str">
        <f>CONCATENATE(A79,"_",H79,"nM_Gate",D79)</f>
        <v>20230302_5e-3nM_Gate1</v>
      </c>
      <c r="K79" s="6" t="str">
        <f>CONCATENATE(A79,"; CR9114 m.l.; ",C79,"nM mHA-PE; G: ",D79)</f>
        <v>20230302; CR9114 m.l.; 0.005nM mHA-PE; G: 1</v>
      </c>
      <c r="L79" s="7">
        <v>78</v>
      </c>
      <c r="M79" s="7"/>
      <c r="N79" s="7">
        <v>78</v>
      </c>
      <c r="O79" s="22">
        <v>13.339</v>
      </c>
      <c r="P79" s="22">
        <f t="shared" si="24"/>
        <v>4.3356000000000003</v>
      </c>
      <c r="Q79" s="28">
        <v>1375</v>
      </c>
      <c r="R79" s="43">
        <v>15.984</v>
      </c>
      <c r="T79" s="44">
        <f t="shared" si="23"/>
        <v>191.80799999999999</v>
      </c>
      <c r="U79" s="22">
        <f t="shared" si="19"/>
        <v>6.2562562562562567</v>
      </c>
      <c r="V79" s="7">
        <v>78</v>
      </c>
      <c r="W79" s="6" t="s">
        <v>106</v>
      </c>
      <c r="X79" s="6" t="s">
        <v>49</v>
      </c>
      <c r="Y79" s="49" t="s">
        <v>139</v>
      </c>
      <c r="Z79" s="6" t="s">
        <v>36</v>
      </c>
      <c r="AA79" s="49" t="s">
        <v>112</v>
      </c>
    </row>
    <row r="80" spans="1:27" ht="16">
      <c r="A80" s="1">
        <v>20230302</v>
      </c>
      <c r="B80" s="1">
        <v>2</v>
      </c>
      <c r="C80" s="1">
        <v>5.0000000000000001E-3</v>
      </c>
      <c r="D80" s="5">
        <v>2</v>
      </c>
      <c r="E80" s="1" t="s">
        <v>148</v>
      </c>
      <c r="F80" s="1" t="str">
        <f t="shared" si="16"/>
        <v>2_0.005_2</v>
      </c>
      <c r="G80" s="1" t="str">
        <f>CONCATENATE(A80,"_",C80,"nM_Gate",D80)</f>
        <v>20230302_0.005nM_Gate2</v>
      </c>
      <c r="H80" s="2" t="s">
        <v>12</v>
      </c>
      <c r="I80" s="1" t="str">
        <f>CONCATENATE(A80,"_",H80,"nM_Gate",D80)</f>
        <v>20230302_5e-3nM_Gate2</v>
      </c>
      <c r="K80" s="6" t="str">
        <f>CONCATENATE(A80,"; CR9114 m.l.; ",C80,"nM mHA-PE; G: ",D80)</f>
        <v>20230302; CR9114 m.l.; 0.005nM mHA-PE; G: 2</v>
      </c>
      <c r="L80" s="7">
        <v>79</v>
      </c>
      <c r="M80" s="7"/>
      <c r="N80" s="7">
        <v>79</v>
      </c>
      <c r="O80" s="22">
        <v>27.992999999999999</v>
      </c>
      <c r="P80" s="22">
        <f t="shared" si="24"/>
        <v>10.197199999999999</v>
      </c>
      <c r="Q80" s="12">
        <v>24</v>
      </c>
      <c r="R80" s="43">
        <v>36.128</v>
      </c>
      <c r="T80" s="44">
        <f t="shared" si="23"/>
        <v>433.536</v>
      </c>
      <c r="U80" s="22">
        <f t="shared" si="19"/>
        <v>2.7679362267493355</v>
      </c>
      <c r="V80" s="7">
        <v>79</v>
      </c>
      <c r="W80" s="6" t="s">
        <v>106</v>
      </c>
      <c r="X80" s="6" t="s">
        <v>49</v>
      </c>
      <c r="Y80" s="49" t="s">
        <v>139</v>
      </c>
      <c r="Z80" s="6" t="s">
        <v>37</v>
      </c>
      <c r="AA80" s="49" t="s">
        <v>113</v>
      </c>
    </row>
    <row r="81" spans="1:27" ht="16">
      <c r="A81" s="1">
        <v>20230302</v>
      </c>
      <c r="B81" s="1">
        <v>2</v>
      </c>
      <c r="C81" s="1">
        <v>5.0000000000000001E-3</v>
      </c>
      <c r="D81" s="5">
        <v>3</v>
      </c>
      <c r="E81" s="1" t="s">
        <v>149</v>
      </c>
      <c r="F81" s="1" t="str">
        <f t="shared" si="16"/>
        <v>2_0.005_3</v>
      </c>
      <c r="G81" s="1" t="str">
        <f>CONCATENATE(A81,"_",C81,"nM_Gate",D81)</f>
        <v>20230302_0.005nM_Gate3</v>
      </c>
      <c r="H81" s="2" t="s">
        <v>12</v>
      </c>
      <c r="I81" s="1" t="str">
        <f>CONCATENATE(A81,"_",H81,"nM_Gate",D81)</f>
        <v>20230302_5e-3nM_Gate3</v>
      </c>
      <c r="K81" s="6" t="str">
        <f>CONCATENATE(A81,"; CR9114 m.l.; ",C81,"nM mHA-PE; G: ",D81)</f>
        <v>20230302; CR9114 m.l.; 0.005nM mHA-PE; G: 3</v>
      </c>
      <c r="L81" s="7">
        <v>80</v>
      </c>
      <c r="M81" s="7"/>
      <c r="N81" s="7">
        <v>80</v>
      </c>
      <c r="O81" s="22">
        <v>18.327000000000002</v>
      </c>
      <c r="P81" s="22">
        <f>(O81/2.5)-1</f>
        <v>6.3308000000000009</v>
      </c>
      <c r="Q81" s="12">
        <v>10</v>
      </c>
      <c r="R81" s="43">
        <v>37.521000000000001</v>
      </c>
      <c r="T81" s="44">
        <f t="shared" si="23"/>
        <v>450.25200000000001</v>
      </c>
      <c r="U81" s="22">
        <f t="shared" si="19"/>
        <v>2.6651741691319528</v>
      </c>
      <c r="V81" s="7">
        <v>80</v>
      </c>
      <c r="W81" s="6" t="s">
        <v>106</v>
      </c>
      <c r="X81" s="6" t="s">
        <v>49</v>
      </c>
      <c r="Y81" s="49" t="s">
        <v>139</v>
      </c>
      <c r="Z81" s="6" t="s">
        <v>38</v>
      </c>
      <c r="AA81" s="49" t="s">
        <v>114</v>
      </c>
    </row>
    <row r="82" spans="1:27" ht="16">
      <c r="A82" s="3" t="s">
        <v>4</v>
      </c>
      <c r="B82" s="3" t="s">
        <v>0</v>
      </c>
      <c r="C82" s="3" t="s">
        <v>15</v>
      </c>
      <c r="D82" s="11" t="s">
        <v>1</v>
      </c>
      <c r="E82" s="11"/>
      <c r="F82" s="3" t="s">
        <v>2</v>
      </c>
      <c r="G82" s="3" t="s">
        <v>3</v>
      </c>
      <c r="H82" s="3" t="s">
        <v>5</v>
      </c>
      <c r="I82" s="3" t="s">
        <v>6</v>
      </c>
      <c r="K82" s="6"/>
      <c r="L82" s="7"/>
      <c r="M82" s="7"/>
      <c r="N82" s="7" t="s">
        <v>74</v>
      </c>
      <c r="O82" s="22">
        <v>38.4</v>
      </c>
      <c r="P82" s="22">
        <f>(O82/2.5)-1</f>
        <v>14.36</v>
      </c>
      <c r="R82" s="43">
        <v>58.33</v>
      </c>
      <c r="T82" s="44">
        <f t="shared" si="23"/>
        <v>699.96</v>
      </c>
      <c r="U82" s="22">
        <f t="shared" si="19"/>
        <v>1.7143836790673754</v>
      </c>
      <c r="V82" s="7">
        <v>81</v>
      </c>
      <c r="W82" s="6" t="s">
        <v>106</v>
      </c>
      <c r="X82" s="6" t="s">
        <v>50</v>
      </c>
      <c r="Y82" s="49" t="s">
        <v>141</v>
      </c>
      <c r="Z82" s="6" t="s">
        <v>31</v>
      </c>
      <c r="AA82" s="49" t="s">
        <v>107</v>
      </c>
    </row>
    <row r="83" spans="1:27" ht="16">
      <c r="O83" s="22"/>
      <c r="R83" s="43"/>
    </row>
    <row r="84" spans="1:27" ht="16">
      <c r="R84" s="43"/>
    </row>
    <row r="86" spans="1:27">
      <c r="L86" s="29"/>
      <c r="P86" s="28"/>
    </row>
    <row r="88" spans="1:27">
      <c r="L88" s="28"/>
    </row>
    <row r="92" spans="1:27">
      <c r="P92" s="28" t="s">
        <v>67</v>
      </c>
    </row>
  </sheetData>
  <autoFilter ref="A1:Q88" xr:uid="{00000000-0001-0000-0000-000000000000}"/>
  <phoneticPr fontId="1" type="noConversion"/>
  <pageMargins left="0.7" right="0.7" top="0.75" bottom="0.75" header="0.3" footer="0.3"/>
  <pageSetup fitToHeight="2" orientation="portrait" horizontalDpi="0" verticalDpi="0"/>
  <rowBreaks count="1" manualBreakCount="1">
    <brk id="4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23A8-8F23-AF4E-8D59-C6219B083561}">
  <dimension ref="A2:AH132"/>
  <sheetViews>
    <sheetView zoomScale="75" workbookViewId="0">
      <selection activeCell="H54" sqref="H54"/>
    </sheetView>
  </sheetViews>
  <sheetFormatPr baseColWidth="10" defaultRowHeight="15"/>
  <cols>
    <col min="5" max="5" width="15.1640625" customWidth="1"/>
    <col min="6" max="16" width="13.33203125" customWidth="1"/>
    <col min="20" max="20" width="11.5" bestFit="1" customWidth="1"/>
    <col min="21" max="21" width="14.83203125" customWidth="1"/>
    <col min="22" max="22" width="16.33203125" bestFit="1" customWidth="1"/>
    <col min="23" max="30" width="13.83203125" bestFit="1" customWidth="1"/>
    <col min="31" max="31" width="37.33203125" bestFit="1" customWidth="1"/>
    <col min="32" max="32" width="13.83203125" bestFit="1" customWidth="1"/>
  </cols>
  <sheetData>
    <row r="2" spans="1:33" ht="16" thickBot="1"/>
    <row r="3" spans="1:3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S3" s="50" t="s">
        <v>69</v>
      </c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2"/>
    </row>
    <row r="4" spans="1:33" ht="16" thickBo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S4" s="34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35"/>
    </row>
    <row r="5" spans="1:33">
      <c r="A5" s="23"/>
      <c r="B5" s="50" t="s">
        <v>70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2"/>
      <c r="Q5" s="23"/>
      <c r="S5" s="34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35"/>
    </row>
    <row r="6" spans="1:3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35"/>
      <c r="Q6" s="23"/>
      <c r="S6" s="34"/>
      <c r="T6" s="23"/>
      <c r="U6" s="23"/>
      <c r="V6" s="53" t="s">
        <v>51</v>
      </c>
      <c r="W6" s="53"/>
      <c r="X6" s="53"/>
      <c r="Y6" s="53"/>
      <c r="Z6" s="53"/>
      <c r="AA6" s="53"/>
      <c r="AB6" s="53"/>
      <c r="AC6" s="53"/>
      <c r="AD6" s="53"/>
      <c r="AE6" s="53"/>
      <c r="AF6" s="53"/>
      <c r="AG6" s="54"/>
    </row>
    <row r="7" spans="1:3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35"/>
      <c r="Q7" s="23"/>
      <c r="S7" s="34"/>
      <c r="T7" s="23"/>
      <c r="U7" s="23"/>
      <c r="V7" s="18" t="s">
        <v>40</v>
      </c>
      <c r="W7" s="18" t="s">
        <v>41</v>
      </c>
      <c r="X7" s="18" t="s">
        <v>42</v>
      </c>
      <c r="Y7" s="18" t="s">
        <v>43</v>
      </c>
      <c r="Z7" s="18" t="s">
        <v>44</v>
      </c>
      <c r="AA7" s="18" t="s">
        <v>45</v>
      </c>
      <c r="AB7" s="18" t="s">
        <v>46</v>
      </c>
      <c r="AC7" s="18" t="s">
        <v>47</v>
      </c>
      <c r="AD7" s="18" t="s">
        <v>48</v>
      </c>
      <c r="AE7" s="18" t="s">
        <v>49</v>
      </c>
      <c r="AF7" s="18" t="s">
        <v>50</v>
      </c>
      <c r="AG7" s="21" t="s">
        <v>52</v>
      </c>
    </row>
    <row r="8" spans="1:33">
      <c r="A8" s="23"/>
      <c r="B8" s="34"/>
      <c r="C8" s="23"/>
      <c r="D8" s="23"/>
      <c r="E8" s="53" t="s">
        <v>51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4"/>
      <c r="Q8" s="23"/>
      <c r="S8" s="34"/>
      <c r="T8" s="23"/>
      <c r="U8" s="23" t="s">
        <v>55</v>
      </c>
      <c r="V8" s="15">
        <v>1</v>
      </c>
      <c r="W8" s="15">
        <v>2</v>
      </c>
      <c r="X8" s="15">
        <v>3</v>
      </c>
      <c r="Y8" s="15">
        <v>4</v>
      </c>
      <c r="Z8" s="15">
        <v>5</v>
      </c>
      <c r="AA8" s="15">
        <v>6</v>
      </c>
      <c r="AB8" s="15">
        <v>7</v>
      </c>
      <c r="AC8" s="15">
        <v>8</v>
      </c>
      <c r="AD8" s="15">
        <v>9</v>
      </c>
      <c r="AE8" s="15">
        <v>10</v>
      </c>
      <c r="AF8" s="15">
        <v>11</v>
      </c>
      <c r="AG8" s="20">
        <v>12</v>
      </c>
    </row>
    <row r="9" spans="1:33">
      <c r="A9" s="23"/>
      <c r="B9" s="34"/>
      <c r="C9" s="23"/>
      <c r="D9" s="23"/>
      <c r="E9" s="18" t="s">
        <v>40</v>
      </c>
      <c r="F9" s="18" t="s">
        <v>41</v>
      </c>
      <c r="G9" s="18" t="s">
        <v>42</v>
      </c>
      <c r="H9" s="18" t="s">
        <v>43</v>
      </c>
      <c r="I9" s="18" t="s">
        <v>44</v>
      </c>
      <c r="J9" s="18" t="s">
        <v>45</v>
      </c>
      <c r="K9" s="18" t="s">
        <v>46</v>
      </c>
      <c r="L9" s="18" t="s">
        <v>47</v>
      </c>
      <c r="M9" s="18" t="s">
        <v>48</v>
      </c>
      <c r="N9" s="18" t="s">
        <v>49</v>
      </c>
      <c r="O9" s="18" t="s">
        <v>50</v>
      </c>
      <c r="P9" s="21" t="s">
        <v>52</v>
      </c>
      <c r="Q9" s="23"/>
      <c r="S9" s="55" t="s">
        <v>39</v>
      </c>
      <c r="T9" s="17" t="s">
        <v>31</v>
      </c>
      <c r="U9" s="14" t="s">
        <v>23</v>
      </c>
      <c r="V9" s="16" t="str">
        <f>$T9</f>
        <v>TrueSef_F_1</v>
      </c>
      <c r="W9" s="16" t="str">
        <f t="shared" ref="W9:AF9" si="0">$T9</f>
        <v>TrueSef_F_1</v>
      </c>
      <c r="X9" s="16" t="str">
        <f t="shared" si="0"/>
        <v>TrueSef_F_1</v>
      </c>
      <c r="Y9" s="16" t="str">
        <f t="shared" si="0"/>
        <v>TrueSef_F_1</v>
      </c>
      <c r="Z9" s="16" t="str">
        <f t="shared" si="0"/>
        <v>TrueSef_F_1</v>
      </c>
      <c r="AA9" s="16" t="str">
        <f>$T9</f>
        <v>TrueSef_F_1</v>
      </c>
      <c r="AB9" s="16" t="str">
        <f t="shared" si="0"/>
        <v>TrueSef_F_1</v>
      </c>
      <c r="AC9" s="16" t="str">
        <f t="shared" si="0"/>
        <v>TrueSef_F_1</v>
      </c>
      <c r="AD9" s="16" t="str">
        <f t="shared" si="0"/>
        <v>TrueSef_F_1</v>
      </c>
      <c r="AE9" s="16" t="str">
        <f>$T9</f>
        <v>TrueSef_F_1</v>
      </c>
      <c r="AF9" s="16" t="str">
        <f t="shared" si="0"/>
        <v>TrueSef_F_1</v>
      </c>
      <c r="AG9" s="21"/>
    </row>
    <row r="10" spans="1:33">
      <c r="A10" s="23"/>
      <c r="B10" s="34"/>
      <c r="C10" s="23"/>
      <c r="D10" s="23" t="s">
        <v>55</v>
      </c>
      <c r="E10" s="15">
        <v>1</v>
      </c>
      <c r="F10" s="15">
        <v>2</v>
      </c>
      <c r="G10" s="15">
        <v>3</v>
      </c>
      <c r="H10" s="15">
        <v>4</v>
      </c>
      <c r="I10" s="15">
        <v>5</v>
      </c>
      <c r="J10" s="15">
        <v>6</v>
      </c>
      <c r="K10" s="15">
        <v>7</v>
      </c>
      <c r="L10" s="15">
        <v>8</v>
      </c>
      <c r="M10" s="15">
        <v>9</v>
      </c>
      <c r="N10" s="15">
        <v>10</v>
      </c>
      <c r="O10" s="15">
        <v>11</v>
      </c>
      <c r="P10" s="20">
        <v>12</v>
      </c>
      <c r="Q10" s="23"/>
      <c r="S10" s="55"/>
      <c r="T10" s="17" t="s">
        <v>32</v>
      </c>
      <c r="U10" s="14" t="s">
        <v>24</v>
      </c>
      <c r="V10" s="16" t="str">
        <f t="shared" ref="V10:AE16" si="1">$T10</f>
        <v>TrueSef_F_2</v>
      </c>
      <c r="W10" s="16" t="str">
        <f t="shared" si="1"/>
        <v>TrueSef_F_2</v>
      </c>
      <c r="X10" s="16" t="str">
        <f t="shared" si="1"/>
        <v>TrueSef_F_2</v>
      </c>
      <c r="Y10" s="16" t="str">
        <f t="shared" si="1"/>
        <v>TrueSef_F_2</v>
      </c>
      <c r="Z10" s="16" t="str">
        <f t="shared" si="1"/>
        <v>TrueSef_F_2</v>
      </c>
      <c r="AA10" s="16" t="str">
        <f t="shared" si="1"/>
        <v>TrueSef_F_2</v>
      </c>
      <c r="AB10" s="16" t="str">
        <f t="shared" si="1"/>
        <v>TrueSef_F_2</v>
      </c>
      <c r="AC10" s="16" t="str">
        <f t="shared" si="1"/>
        <v>TrueSef_F_2</v>
      </c>
      <c r="AD10" s="16" t="str">
        <f t="shared" si="1"/>
        <v>TrueSef_F_2</v>
      </c>
      <c r="AE10" s="16" t="str">
        <f t="shared" si="1"/>
        <v>TrueSef_F_2</v>
      </c>
      <c r="AF10" s="16"/>
      <c r="AG10" s="21"/>
    </row>
    <row r="11" spans="1:33">
      <c r="A11" s="23"/>
      <c r="B11" s="55" t="s">
        <v>39</v>
      </c>
      <c r="C11" s="17" t="s">
        <v>31</v>
      </c>
      <c r="D11" s="14" t="s">
        <v>23</v>
      </c>
      <c r="E11" s="16">
        <v>1</v>
      </c>
      <c r="F11" s="16">
        <v>9</v>
      </c>
      <c r="G11" s="16">
        <v>17</v>
      </c>
      <c r="H11" s="16">
        <v>25</v>
      </c>
      <c r="I11" s="16">
        <v>33</v>
      </c>
      <c r="J11" s="16">
        <v>41</v>
      </c>
      <c r="K11" s="16">
        <v>49</v>
      </c>
      <c r="L11" s="16">
        <v>57</v>
      </c>
      <c r="M11" s="16">
        <v>65</v>
      </c>
      <c r="N11" s="16">
        <v>73</v>
      </c>
      <c r="O11" s="16">
        <v>81</v>
      </c>
      <c r="P11" s="21"/>
      <c r="Q11" s="23"/>
      <c r="S11" s="55"/>
      <c r="T11" s="17" t="s">
        <v>33</v>
      </c>
      <c r="U11" s="14" t="s">
        <v>25</v>
      </c>
      <c r="V11" s="16" t="str">
        <f t="shared" si="1"/>
        <v>TrueSef_F_3</v>
      </c>
      <c r="W11" s="16" t="str">
        <f t="shared" si="1"/>
        <v>TrueSef_F_3</v>
      </c>
      <c r="X11" s="16" t="str">
        <f t="shared" si="1"/>
        <v>TrueSef_F_3</v>
      </c>
      <c r="Y11" s="16" t="str">
        <f t="shared" si="1"/>
        <v>TrueSef_F_3</v>
      </c>
      <c r="Z11" s="16" t="str">
        <f t="shared" si="1"/>
        <v>TrueSef_F_3</v>
      </c>
      <c r="AA11" s="16" t="str">
        <f t="shared" si="1"/>
        <v>TrueSef_F_3</v>
      </c>
      <c r="AB11" s="16" t="str">
        <f t="shared" si="1"/>
        <v>TrueSef_F_3</v>
      </c>
      <c r="AC11" s="16" t="str">
        <f t="shared" si="1"/>
        <v>TrueSef_F_3</v>
      </c>
      <c r="AD11" s="16" t="str">
        <f t="shared" si="1"/>
        <v>TrueSef_F_3</v>
      </c>
      <c r="AE11" s="16" t="str">
        <f t="shared" si="1"/>
        <v>TrueSef_F_3</v>
      </c>
      <c r="AF11" s="16"/>
      <c r="AG11" s="21"/>
    </row>
    <row r="12" spans="1:33">
      <c r="A12" s="23"/>
      <c r="B12" s="55"/>
      <c r="C12" s="17" t="s">
        <v>32</v>
      </c>
      <c r="D12" s="14" t="s">
        <v>24</v>
      </c>
      <c r="E12" s="16">
        <v>2</v>
      </c>
      <c r="F12" s="16">
        <v>10</v>
      </c>
      <c r="G12" s="16">
        <v>18</v>
      </c>
      <c r="H12" s="16">
        <v>26</v>
      </c>
      <c r="I12" s="16">
        <v>34</v>
      </c>
      <c r="J12" s="16">
        <v>42</v>
      </c>
      <c r="K12" s="16">
        <v>50</v>
      </c>
      <c r="L12" s="16">
        <v>58</v>
      </c>
      <c r="M12" s="16">
        <v>66</v>
      </c>
      <c r="N12" s="16">
        <v>74</v>
      </c>
      <c r="O12" s="16"/>
      <c r="P12" s="21"/>
      <c r="Q12" s="23"/>
      <c r="S12" s="55"/>
      <c r="T12" s="17" t="s">
        <v>34</v>
      </c>
      <c r="U12" s="14" t="s">
        <v>26</v>
      </c>
      <c r="V12" s="16" t="str">
        <f t="shared" si="1"/>
        <v>TrueSef_F_4</v>
      </c>
      <c r="W12" s="16" t="str">
        <f t="shared" si="1"/>
        <v>TrueSef_F_4</v>
      </c>
      <c r="X12" s="16" t="str">
        <f t="shared" si="1"/>
        <v>TrueSef_F_4</v>
      </c>
      <c r="Y12" s="16" t="str">
        <f t="shared" si="1"/>
        <v>TrueSef_F_4</v>
      </c>
      <c r="Z12" s="16" t="str">
        <f t="shared" si="1"/>
        <v>TrueSef_F_4</v>
      </c>
      <c r="AA12" s="16" t="str">
        <f t="shared" si="1"/>
        <v>TrueSef_F_4</v>
      </c>
      <c r="AB12" s="16" t="str">
        <f t="shared" si="1"/>
        <v>TrueSef_F_4</v>
      </c>
      <c r="AC12" s="16" t="str">
        <f t="shared" si="1"/>
        <v>TrueSef_F_4</v>
      </c>
      <c r="AD12" s="16" t="str">
        <f t="shared" si="1"/>
        <v>TrueSef_F_4</v>
      </c>
      <c r="AE12" s="16" t="str">
        <f t="shared" si="1"/>
        <v>TrueSef_F_4</v>
      </c>
      <c r="AF12" s="16"/>
      <c r="AG12" s="21"/>
    </row>
    <row r="13" spans="1:33">
      <c r="A13" s="23"/>
      <c r="B13" s="55"/>
      <c r="C13" s="17" t="s">
        <v>33</v>
      </c>
      <c r="D13" s="14" t="s">
        <v>25</v>
      </c>
      <c r="E13" s="16">
        <v>3</v>
      </c>
      <c r="F13" s="16">
        <v>11</v>
      </c>
      <c r="G13" s="16">
        <v>19</v>
      </c>
      <c r="H13" s="16">
        <v>27</v>
      </c>
      <c r="I13" s="16">
        <v>35</v>
      </c>
      <c r="J13" s="16">
        <v>43</v>
      </c>
      <c r="K13" s="16">
        <v>51</v>
      </c>
      <c r="L13" s="16">
        <v>59</v>
      </c>
      <c r="M13" s="16">
        <v>67</v>
      </c>
      <c r="N13" s="16">
        <v>75</v>
      </c>
      <c r="O13" s="16"/>
      <c r="P13" s="21"/>
      <c r="Q13" s="23"/>
      <c r="S13" s="55"/>
      <c r="T13" s="17" t="s">
        <v>35</v>
      </c>
      <c r="U13" s="14" t="s">
        <v>27</v>
      </c>
      <c r="V13" s="16" t="str">
        <f t="shared" si="1"/>
        <v>TrueSef_F_5</v>
      </c>
      <c r="W13" s="16" t="str">
        <f t="shared" si="1"/>
        <v>TrueSef_F_5</v>
      </c>
      <c r="X13" s="16" t="str">
        <f t="shared" si="1"/>
        <v>TrueSef_F_5</v>
      </c>
      <c r="Y13" s="16" t="str">
        <f t="shared" si="1"/>
        <v>TrueSef_F_5</v>
      </c>
      <c r="Z13" s="16" t="str">
        <f t="shared" si="1"/>
        <v>TrueSef_F_5</v>
      </c>
      <c r="AA13" s="16" t="str">
        <f t="shared" si="1"/>
        <v>TrueSef_F_5</v>
      </c>
      <c r="AB13" s="16" t="str">
        <f t="shared" si="1"/>
        <v>TrueSef_F_5</v>
      </c>
      <c r="AC13" s="16" t="str">
        <f t="shared" si="1"/>
        <v>TrueSef_F_5</v>
      </c>
      <c r="AD13" s="16" t="str">
        <f t="shared" si="1"/>
        <v>TrueSef_F_5</v>
      </c>
      <c r="AE13" s="16" t="str">
        <f t="shared" si="1"/>
        <v>TrueSef_F_5</v>
      </c>
      <c r="AF13" s="16"/>
      <c r="AG13" s="21"/>
    </row>
    <row r="14" spans="1:33">
      <c r="A14" s="23"/>
      <c r="B14" s="55"/>
      <c r="C14" s="17" t="s">
        <v>34</v>
      </c>
      <c r="D14" s="14" t="s">
        <v>26</v>
      </c>
      <c r="E14" s="16">
        <v>4</v>
      </c>
      <c r="F14" s="16">
        <v>12</v>
      </c>
      <c r="G14" s="16">
        <v>20</v>
      </c>
      <c r="H14" s="16">
        <v>28</v>
      </c>
      <c r="I14" s="16">
        <v>36</v>
      </c>
      <c r="J14" s="16">
        <v>44</v>
      </c>
      <c r="K14" s="16">
        <v>52</v>
      </c>
      <c r="L14" s="16">
        <v>60</v>
      </c>
      <c r="M14" s="16">
        <v>68</v>
      </c>
      <c r="N14" s="16">
        <v>76</v>
      </c>
      <c r="O14" s="16"/>
      <c r="P14" s="21"/>
      <c r="Q14" s="23"/>
      <c r="S14" s="55"/>
      <c r="T14" s="17" t="s">
        <v>36</v>
      </c>
      <c r="U14" s="14" t="s">
        <v>28</v>
      </c>
      <c r="V14" s="16" t="str">
        <f t="shared" si="1"/>
        <v>TrueSef_F_6</v>
      </c>
      <c r="W14" s="16" t="str">
        <f t="shared" si="1"/>
        <v>TrueSef_F_6</v>
      </c>
      <c r="X14" s="16" t="str">
        <f t="shared" si="1"/>
        <v>TrueSef_F_6</v>
      </c>
      <c r="Y14" s="16" t="str">
        <f t="shared" si="1"/>
        <v>TrueSef_F_6</v>
      </c>
      <c r="Z14" s="16" t="str">
        <f t="shared" si="1"/>
        <v>TrueSef_F_6</v>
      </c>
      <c r="AA14" s="16" t="str">
        <f t="shared" si="1"/>
        <v>TrueSef_F_6</v>
      </c>
      <c r="AB14" s="16" t="str">
        <f t="shared" si="1"/>
        <v>TrueSef_F_6</v>
      </c>
      <c r="AC14" s="16" t="str">
        <f t="shared" si="1"/>
        <v>TrueSef_F_6</v>
      </c>
      <c r="AD14" s="16" t="str">
        <f t="shared" si="1"/>
        <v>TrueSef_F_6</v>
      </c>
      <c r="AE14" s="16" t="str">
        <f t="shared" si="1"/>
        <v>TrueSef_F_6</v>
      </c>
      <c r="AF14" s="16"/>
      <c r="AG14" s="21"/>
    </row>
    <row r="15" spans="1:33">
      <c r="A15" s="23"/>
      <c r="B15" s="55"/>
      <c r="C15" s="17" t="s">
        <v>35</v>
      </c>
      <c r="D15" s="14" t="s">
        <v>27</v>
      </c>
      <c r="E15" s="16">
        <v>5</v>
      </c>
      <c r="F15" s="16">
        <v>13</v>
      </c>
      <c r="G15" s="16">
        <v>21</v>
      </c>
      <c r="H15" s="16">
        <v>29</v>
      </c>
      <c r="I15" s="16">
        <v>37</v>
      </c>
      <c r="J15" s="16">
        <v>45</v>
      </c>
      <c r="K15" s="16">
        <v>53</v>
      </c>
      <c r="L15" s="16">
        <v>61</v>
      </c>
      <c r="M15" s="16">
        <v>69</v>
      </c>
      <c r="N15" s="16">
        <v>77</v>
      </c>
      <c r="O15" s="16"/>
      <c r="P15" s="21"/>
      <c r="Q15" s="23"/>
      <c r="S15" s="55"/>
      <c r="T15" s="17" t="s">
        <v>37</v>
      </c>
      <c r="U15" s="14" t="s">
        <v>29</v>
      </c>
      <c r="V15" s="16" t="str">
        <f t="shared" si="1"/>
        <v>TrueSef_F_7</v>
      </c>
      <c r="W15" s="16" t="str">
        <f t="shared" si="1"/>
        <v>TrueSef_F_7</v>
      </c>
      <c r="X15" s="16" t="str">
        <f t="shared" si="1"/>
        <v>TrueSef_F_7</v>
      </c>
      <c r="Y15" s="16" t="str">
        <f t="shared" si="1"/>
        <v>TrueSef_F_7</v>
      </c>
      <c r="Z15" s="16" t="str">
        <f t="shared" si="1"/>
        <v>TrueSef_F_7</v>
      </c>
      <c r="AA15" s="16" t="str">
        <f t="shared" si="1"/>
        <v>TrueSef_F_7</v>
      </c>
      <c r="AB15" s="16" t="str">
        <f t="shared" si="1"/>
        <v>TrueSef_F_7</v>
      </c>
      <c r="AC15" s="16" t="str">
        <f t="shared" si="1"/>
        <v>TrueSef_F_7</v>
      </c>
      <c r="AD15" s="16" t="str">
        <f t="shared" si="1"/>
        <v>TrueSef_F_7</v>
      </c>
      <c r="AE15" s="16" t="str">
        <f t="shared" si="1"/>
        <v>TrueSef_F_7</v>
      </c>
      <c r="AF15" s="16"/>
      <c r="AG15" s="21"/>
    </row>
    <row r="16" spans="1:33">
      <c r="A16" s="23"/>
      <c r="B16" s="55"/>
      <c r="C16" s="17" t="s">
        <v>36</v>
      </c>
      <c r="D16" s="14" t="s">
        <v>28</v>
      </c>
      <c r="E16" s="16">
        <v>6</v>
      </c>
      <c r="F16" s="16">
        <v>14</v>
      </c>
      <c r="G16" s="16">
        <v>22</v>
      </c>
      <c r="H16" s="16">
        <v>30</v>
      </c>
      <c r="I16" s="16">
        <v>38</v>
      </c>
      <c r="J16" s="16">
        <v>46</v>
      </c>
      <c r="K16" s="16">
        <v>54</v>
      </c>
      <c r="L16" s="16">
        <v>62</v>
      </c>
      <c r="M16" s="16">
        <v>70</v>
      </c>
      <c r="N16" s="16">
        <v>78</v>
      </c>
      <c r="O16" s="16"/>
      <c r="P16" s="21"/>
      <c r="Q16" s="23"/>
      <c r="S16" s="55"/>
      <c r="T16" s="17" t="s">
        <v>38</v>
      </c>
      <c r="U16" s="14" t="s">
        <v>30</v>
      </c>
      <c r="V16" s="16" t="str">
        <f t="shared" si="1"/>
        <v>TrueSef_F_8</v>
      </c>
      <c r="W16" s="16" t="str">
        <f t="shared" si="1"/>
        <v>TrueSef_F_8</v>
      </c>
      <c r="X16" s="16" t="str">
        <f t="shared" si="1"/>
        <v>TrueSef_F_8</v>
      </c>
      <c r="Y16" s="16" t="str">
        <f t="shared" si="1"/>
        <v>TrueSef_F_8</v>
      </c>
      <c r="Z16" s="16" t="str">
        <f t="shared" si="1"/>
        <v>TrueSef_F_8</v>
      </c>
      <c r="AA16" s="16" t="str">
        <f t="shared" si="1"/>
        <v>TrueSef_F_8</v>
      </c>
      <c r="AB16" s="16" t="str">
        <f t="shared" si="1"/>
        <v>TrueSef_F_8</v>
      </c>
      <c r="AC16" s="16" t="str">
        <f t="shared" si="1"/>
        <v>TrueSef_F_8</v>
      </c>
      <c r="AD16" s="16" t="str">
        <f t="shared" si="1"/>
        <v>TrueSef_F_8</v>
      </c>
      <c r="AE16" s="16" t="str">
        <f t="shared" si="1"/>
        <v>TrueSef_F_8</v>
      </c>
      <c r="AF16" s="16"/>
      <c r="AG16" s="21"/>
    </row>
    <row r="17" spans="1:34">
      <c r="A17" s="23"/>
      <c r="B17" s="55"/>
      <c r="C17" s="17" t="s">
        <v>37</v>
      </c>
      <c r="D17" s="14" t="s">
        <v>29</v>
      </c>
      <c r="E17" s="16">
        <v>7</v>
      </c>
      <c r="F17" s="16">
        <v>15</v>
      </c>
      <c r="G17" s="16">
        <v>23</v>
      </c>
      <c r="H17" s="16">
        <v>31</v>
      </c>
      <c r="I17" s="16">
        <v>39</v>
      </c>
      <c r="J17" s="16">
        <v>47</v>
      </c>
      <c r="K17" s="16">
        <v>55</v>
      </c>
      <c r="L17" s="16">
        <v>63</v>
      </c>
      <c r="M17" s="16">
        <v>71</v>
      </c>
      <c r="N17" s="16">
        <v>79</v>
      </c>
      <c r="O17" s="16"/>
      <c r="P17" s="21"/>
      <c r="Q17" s="23"/>
      <c r="S17" s="34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35"/>
    </row>
    <row r="18" spans="1:34">
      <c r="A18" s="23"/>
      <c r="B18" s="55"/>
      <c r="C18" s="17" t="s">
        <v>38</v>
      </c>
      <c r="D18" s="14" t="s">
        <v>30</v>
      </c>
      <c r="E18" s="16">
        <v>8</v>
      </c>
      <c r="F18" s="16">
        <v>16</v>
      </c>
      <c r="G18" s="16">
        <v>24</v>
      </c>
      <c r="H18" s="16">
        <v>32</v>
      </c>
      <c r="I18" s="16">
        <v>40</v>
      </c>
      <c r="J18" s="16">
        <v>48</v>
      </c>
      <c r="K18" s="16">
        <v>56</v>
      </c>
      <c r="L18" s="16">
        <v>64</v>
      </c>
      <c r="M18" s="16">
        <v>72</v>
      </c>
      <c r="N18" s="16">
        <v>80</v>
      </c>
      <c r="O18" s="16"/>
      <c r="P18" s="21"/>
      <c r="Q18" s="23"/>
      <c r="S18" s="34"/>
      <c r="T18" s="23"/>
      <c r="U18" s="23"/>
      <c r="V18" s="16" t="s">
        <v>71</v>
      </c>
      <c r="W18" s="23"/>
      <c r="X18" s="23"/>
      <c r="Y18" s="23"/>
      <c r="Z18" s="23"/>
      <c r="AA18" s="23"/>
      <c r="AB18" s="23"/>
      <c r="AC18" s="23"/>
      <c r="AD18" s="23"/>
      <c r="AE18" s="23" t="s">
        <v>68</v>
      </c>
      <c r="AF18" s="23"/>
      <c r="AG18" s="35"/>
    </row>
    <row r="19" spans="1:34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35"/>
      <c r="Q19" s="23"/>
      <c r="S19" s="34"/>
      <c r="T19" s="23"/>
      <c r="U19" s="23"/>
      <c r="V19" s="19" t="s">
        <v>39</v>
      </c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35"/>
    </row>
    <row r="20" spans="1:34">
      <c r="A20" s="23"/>
      <c r="B20" s="34"/>
      <c r="C20" s="23"/>
      <c r="D20" s="23"/>
      <c r="E20" s="16" t="s">
        <v>53</v>
      </c>
      <c r="F20" s="23"/>
      <c r="G20" s="23"/>
      <c r="H20" s="23"/>
      <c r="I20" s="23"/>
      <c r="J20" s="23"/>
      <c r="K20" s="23"/>
      <c r="L20" s="23"/>
      <c r="M20" s="23"/>
      <c r="N20" s="23" t="s">
        <v>68</v>
      </c>
      <c r="O20" s="23"/>
      <c r="P20" s="35"/>
      <c r="Q20" s="23"/>
      <c r="S20" s="34"/>
      <c r="T20" s="23"/>
      <c r="U20" s="23"/>
      <c r="V20" s="18" t="s">
        <v>54</v>
      </c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35"/>
    </row>
    <row r="21" spans="1:34" ht="16" thickBot="1">
      <c r="A21" s="23"/>
      <c r="B21" s="34"/>
      <c r="C21" s="23"/>
      <c r="D21" s="23"/>
      <c r="E21" s="19" t="s">
        <v>39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35"/>
      <c r="Q21" s="23"/>
      <c r="S21" s="38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7"/>
    </row>
    <row r="22" spans="1:34">
      <c r="A22" s="23"/>
      <c r="B22" s="34"/>
      <c r="C22" s="23"/>
      <c r="D22" s="23"/>
      <c r="E22" s="18" t="s">
        <v>54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35"/>
      <c r="Q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4" ht="16" thickBot="1">
      <c r="A23" s="23"/>
      <c r="B23" s="38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  <c r="Q23" s="23"/>
    </row>
    <row r="24" spans="1:3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 spans="1:34" ht="16" thickBo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1:34">
      <c r="A26" s="23"/>
      <c r="B26" s="50" t="s">
        <v>69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2"/>
      <c r="Q26" s="23"/>
      <c r="R26" s="23"/>
      <c r="S26" s="50" t="s">
        <v>69</v>
      </c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2"/>
      <c r="AH26" s="23"/>
    </row>
    <row r="27" spans="1:34">
      <c r="A27" s="23"/>
      <c r="B27" s="3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35"/>
      <c r="Q27" s="23"/>
      <c r="R27" s="23"/>
      <c r="S27" s="34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35"/>
      <c r="AH27" s="23"/>
    </row>
    <row r="28" spans="1:34">
      <c r="A28" s="23"/>
      <c r="B28" s="3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35"/>
      <c r="Q28" s="23"/>
      <c r="R28" s="23"/>
      <c r="S28" s="34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35"/>
      <c r="AH28" s="23"/>
    </row>
    <row r="29" spans="1:34">
      <c r="A29" s="23"/>
      <c r="B29" s="34"/>
      <c r="C29" s="23"/>
      <c r="D29" s="23"/>
      <c r="E29" s="53" t="s">
        <v>51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4"/>
      <c r="Q29" s="23"/>
      <c r="R29" s="23"/>
      <c r="S29" s="34"/>
      <c r="T29" s="23"/>
      <c r="U29" s="23"/>
      <c r="V29" s="53" t="s">
        <v>51</v>
      </c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4"/>
      <c r="AH29" s="23"/>
    </row>
    <row r="30" spans="1:34">
      <c r="A30" s="23"/>
      <c r="B30" s="34"/>
      <c r="C30" s="23"/>
      <c r="D30" s="23"/>
      <c r="E30" s="18" t="s">
        <v>40</v>
      </c>
      <c r="F30" s="18" t="s">
        <v>41</v>
      </c>
      <c r="G30" s="18" t="s">
        <v>42</v>
      </c>
      <c r="H30" s="18" t="s">
        <v>43</v>
      </c>
      <c r="I30" s="18" t="s">
        <v>44</v>
      </c>
      <c r="J30" s="18" t="s">
        <v>45</v>
      </c>
      <c r="K30" s="18" t="s">
        <v>46</v>
      </c>
      <c r="L30" s="18" t="s">
        <v>47</v>
      </c>
      <c r="M30" s="18" t="s">
        <v>48</v>
      </c>
      <c r="N30" s="18" t="s">
        <v>49</v>
      </c>
      <c r="O30" s="18" t="s">
        <v>50</v>
      </c>
      <c r="P30" s="21" t="s">
        <v>52</v>
      </c>
      <c r="Q30" s="23"/>
      <c r="R30" s="23"/>
      <c r="S30" s="34"/>
      <c r="T30" s="23"/>
      <c r="U30" s="23"/>
      <c r="V30" s="18" t="s">
        <v>40</v>
      </c>
      <c r="W30" s="18" t="s">
        <v>41</v>
      </c>
      <c r="X30" s="18" t="s">
        <v>42</v>
      </c>
      <c r="Y30" s="18" t="s">
        <v>43</v>
      </c>
      <c r="Z30" s="18" t="s">
        <v>44</v>
      </c>
      <c r="AA30" s="18" t="s">
        <v>45</v>
      </c>
      <c r="AB30" s="18" t="s">
        <v>46</v>
      </c>
      <c r="AC30" s="18" t="s">
        <v>47</v>
      </c>
      <c r="AD30" s="18" t="s">
        <v>48</v>
      </c>
      <c r="AE30" s="18" t="s">
        <v>49</v>
      </c>
      <c r="AF30" s="18" t="s">
        <v>50</v>
      </c>
      <c r="AG30" s="21" t="s">
        <v>52</v>
      </c>
      <c r="AH30" s="23"/>
    </row>
    <row r="31" spans="1:34">
      <c r="A31" s="23"/>
      <c r="B31" s="34"/>
      <c r="C31" s="23"/>
      <c r="D31" s="23" t="s">
        <v>55</v>
      </c>
      <c r="E31" s="15">
        <v>1</v>
      </c>
      <c r="F31" s="15">
        <v>2</v>
      </c>
      <c r="G31" s="15">
        <v>3</v>
      </c>
      <c r="H31" s="15">
        <v>4</v>
      </c>
      <c r="I31" s="15">
        <v>5</v>
      </c>
      <c r="J31" s="15">
        <v>6</v>
      </c>
      <c r="K31" s="15">
        <v>7</v>
      </c>
      <c r="L31" s="15">
        <v>8</v>
      </c>
      <c r="M31" s="15">
        <v>9</v>
      </c>
      <c r="N31" s="15">
        <v>10</v>
      </c>
      <c r="O31" s="15">
        <v>11</v>
      </c>
      <c r="P31" s="20">
        <v>12</v>
      </c>
      <c r="Q31" s="23"/>
      <c r="R31" s="23"/>
      <c r="S31" s="34"/>
      <c r="T31" s="23"/>
      <c r="U31" s="23" t="s">
        <v>55</v>
      </c>
      <c r="V31" s="15">
        <v>1</v>
      </c>
      <c r="W31" s="15">
        <v>2</v>
      </c>
      <c r="X31" s="15">
        <v>3</v>
      </c>
      <c r="Y31" s="15">
        <v>4</v>
      </c>
      <c r="Z31" s="15">
        <v>5</v>
      </c>
      <c r="AA31" s="15">
        <v>6</v>
      </c>
      <c r="AB31" s="15">
        <v>7</v>
      </c>
      <c r="AC31" s="15">
        <v>8</v>
      </c>
      <c r="AD31" s="15">
        <v>9</v>
      </c>
      <c r="AE31" s="15">
        <v>10</v>
      </c>
      <c r="AF31" s="15">
        <v>11</v>
      </c>
      <c r="AG31" s="20">
        <v>12</v>
      </c>
      <c r="AH31" s="23"/>
    </row>
    <row r="32" spans="1:34">
      <c r="A32" s="23"/>
      <c r="B32" s="55" t="s">
        <v>39</v>
      </c>
      <c r="C32" s="17" t="s">
        <v>31</v>
      </c>
      <c r="D32" s="14" t="s">
        <v>23</v>
      </c>
      <c r="E32" s="16" t="str">
        <f t="shared" ref="E32:O39" si="2">CONCATENATE($C32,"_",E$30)</f>
        <v>TrueSef_F_1_TrueSeq_R_A701</v>
      </c>
      <c r="F32" s="16" t="str">
        <f t="shared" si="2"/>
        <v>TrueSef_F_1_TrueSeq_R_A702</v>
      </c>
      <c r="G32" s="16" t="str">
        <f t="shared" si="2"/>
        <v>TrueSef_F_1_TrueSeq_R_A703</v>
      </c>
      <c r="H32" s="16" t="str">
        <f t="shared" si="2"/>
        <v>TrueSef_F_1_TrueSeq_R_A704</v>
      </c>
      <c r="I32" s="16" t="str">
        <f t="shared" si="2"/>
        <v>TrueSef_F_1_TrueSeq_R_A705</v>
      </c>
      <c r="J32" s="16" t="str">
        <f t="shared" si="2"/>
        <v>TrueSef_F_1_TrueSeq_R_A706</v>
      </c>
      <c r="K32" s="16" t="str">
        <f t="shared" si="2"/>
        <v>TrueSef_F_1_TrueSeq_R_A707</v>
      </c>
      <c r="L32" s="16" t="str">
        <f t="shared" si="2"/>
        <v>TrueSef_F_1_TrueSeq_R_A708</v>
      </c>
      <c r="M32" s="16" t="str">
        <f t="shared" si="2"/>
        <v>TrueSef_F_1_TrueSeq_R_A709</v>
      </c>
      <c r="N32" s="16" t="str">
        <f t="shared" si="2"/>
        <v>TrueSef_F_1_TrueSeq_R_A710</v>
      </c>
      <c r="O32" s="16" t="str">
        <f t="shared" si="2"/>
        <v>TrueSef_F_1_TrueSeq_R_A711</v>
      </c>
      <c r="P32" s="21"/>
      <c r="Q32" s="23"/>
      <c r="R32" s="23"/>
      <c r="S32" s="55" t="s">
        <v>39</v>
      </c>
      <c r="T32" s="17" t="s">
        <v>31</v>
      </c>
      <c r="U32" s="14" t="s">
        <v>23</v>
      </c>
      <c r="V32" s="16" t="str">
        <f>V$30</f>
        <v>TrueSeq_R_A701</v>
      </c>
      <c r="W32" s="16" t="str">
        <f>W$30</f>
        <v>TrueSeq_R_A702</v>
      </c>
      <c r="X32" s="16" t="str">
        <f t="shared" ref="X32:AF32" si="3">X$30</f>
        <v>TrueSeq_R_A703</v>
      </c>
      <c r="Y32" s="16" t="str">
        <f t="shared" si="3"/>
        <v>TrueSeq_R_A704</v>
      </c>
      <c r="Z32" s="16" t="str">
        <f t="shared" si="3"/>
        <v>TrueSeq_R_A705</v>
      </c>
      <c r="AA32" s="16" t="str">
        <f t="shared" si="3"/>
        <v>TrueSeq_R_A706</v>
      </c>
      <c r="AB32" s="16" t="str">
        <f t="shared" si="3"/>
        <v>TrueSeq_R_A707</v>
      </c>
      <c r="AC32" s="16" t="str">
        <f t="shared" si="3"/>
        <v>TrueSeq_R_A708</v>
      </c>
      <c r="AD32" s="16" t="str">
        <f t="shared" si="3"/>
        <v>TrueSeq_R_A709</v>
      </c>
      <c r="AE32" s="16" t="str">
        <f t="shared" si="3"/>
        <v>TrueSeq_R_A710</v>
      </c>
      <c r="AF32" s="16" t="str">
        <f t="shared" si="3"/>
        <v>TrueSeq_R_A711</v>
      </c>
      <c r="AG32" s="21"/>
      <c r="AH32" s="23"/>
    </row>
    <row r="33" spans="1:34">
      <c r="A33" s="23"/>
      <c r="B33" s="55"/>
      <c r="C33" s="17" t="s">
        <v>32</v>
      </c>
      <c r="D33" s="14" t="s">
        <v>24</v>
      </c>
      <c r="E33" s="16" t="str">
        <f t="shared" si="2"/>
        <v>TrueSef_F_2_TrueSeq_R_A701</v>
      </c>
      <c r="F33" s="16" t="str">
        <f t="shared" si="2"/>
        <v>TrueSef_F_2_TrueSeq_R_A702</v>
      </c>
      <c r="G33" s="16" t="str">
        <f t="shared" si="2"/>
        <v>TrueSef_F_2_TrueSeq_R_A703</v>
      </c>
      <c r="H33" s="16" t="str">
        <f t="shared" si="2"/>
        <v>TrueSef_F_2_TrueSeq_R_A704</v>
      </c>
      <c r="I33" s="16" t="str">
        <f t="shared" si="2"/>
        <v>TrueSef_F_2_TrueSeq_R_A705</v>
      </c>
      <c r="J33" s="16" t="str">
        <f t="shared" si="2"/>
        <v>TrueSef_F_2_TrueSeq_R_A706</v>
      </c>
      <c r="K33" s="16" t="str">
        <f t="shared" si="2"/>
        <v>TrueSef_F_2_TrueSeq_R_A707</v>
      </c>
      <c r="L33" s="16" t="str">
        <f t="shared" si="2"/>
        <v>TrueSef_F_2_TrueSeq_R_A708</v>
      </c>
      <c r="M33" s="16" t="str">
        <f t="shared" si="2"/>
        <v>TrueSef_F_2_TrueSeq_R_A709</v>
      </c>
      <c r="N33" s="16" t="str">
        <f t="shared" si="2"/>
        <v>TrueSef_F_2_TrueSeq_R_A710</v>
      </c>
      <c r="O33" s="16" t="str">
        <f t="shared" si="2"/>
        <v>TrueSef_F_2_TrueSeq_R_A711</v>
      </c>
      <c r="P33" s="21"/>
      <c r="Q33" s="23"/>
      <c r="R33" s="23"/>
      <c r="S33" s="55"/>
      <c r="T33" s="17" t="s">
        <v>32</v>
      </c>
      <c r="U33" s="14" t="s">
        <v>24</v>
      </c>
      <c r="V33" s="16" t="str">
        <f t="shared" ref="V33:AE39" si="4">V$30</f>
        <v>TrueSeq_R_A701</v>
      </c>
      <c r="W33" s="16" t="str">
        <f t="shared" si="4"/>
        <v>TrueSeq_R_A702</v>
      </c>
      <c r="X33" s="16" t="str">
        <f t="shared" si="4"/>
        <v>TrueSeq_R_A703</v>
      </c>
      <c r="Y33" s="16" t="str">
        <f t="shared" si="4"/>
        <v>TrueSeq_R_A704</v>
      </c>
      <c r="Z33" s="16" t="str">
        <f t="shared" si="4"/>
        <v>TrueSeq_R_A705</v>
      </c>
      <c r="AA33" s="16" t="str">
        <f t="shared" si="4"/>
        <v>TrueSeq_R_A706</v>
      </c>
      <c r="AB33" s="16" t="str">
        <f t="shared" si="4"/>
        <v>TrueSeq_R_A707</v>
      </c>
      <c r="AC33" s="16" t="str">
        <f t="shared" si="4"/>
        <v>TrueSeq_R_A708</v>
      </c>
      <c r="AD33" s="16" t="str">
        <f t="shared" si="4"/>
        <v>TrueSeq_R_A709</v>
      </c>
      <c r="AE33" s="16" t="str">
        <f t="shared" si="4"/>
        <v>TrueSeq_R_A710</v>
      </c>
      <c r="AF33" s="16"/>
      <c r="AG33" s="21"/>
      <c r="AH33" s="23"/>
    </row>
    <row r="34" spans="1:34">
      <c r="A34" s="23"/>
      <c r="B34" s="55"/>
      <c r="C34" s="17" t="s">
        <v>33</v>
      </c>
      <c r="D34" s="14" t="s">
        <v>25</v>
      </c>
      <c r="E34" s="16" t="str">
        <f t="shared" si="2"/>
        <v>TrueSef_F_3_TrueSeq_R_A701</v>
      </c>
      <c r="F34" s="16" t="str">
        <f t="shared" si="2"/>
        <v>TrueSef_F_3_TrueSeq_R_A702</v>
      </c>
      <c r="G34" s="16" t="str">
        <f t="shared" si="2"/>
        <v>TrueSef_F_3_TrueSeq_R_A703</v>
      </c>
      <c r="H34" s="16" t="str">
        <f t="shared" si="2"/>
        <v>TrueSef_F_3_TrueSeq_R_A704</v>
      </c>
      <c r="I34" s="16" t="str">
        <f t="shared" si="2"/>
        <v>TrueSef_F_3_TrueSeq_R_A705</v>
      </c>
      <c r="J34" s="16" t="str">
        <f t="shared" si="2"/>
        <v>TrueSef_F_3_TrueSeq_R_A706</v>
      </c>
      <c r="K34" s="16" t="str">
        <f t="shared" si="2"/>
        <v>TrueSef_F_3_TrueSeq_R_A707</v>
      </c>
      <c r="L34" s="16" t="str">
        <f t="shared" si="2"/>
        <v>TrueSef_F_3_TrueSeq_R_A708</v>
      </c>
      <c r="M34" s="16" t="str">
        <f t="shared" si="2"/>
        <v>TrueSef_F_3_TrueSeq_R_A709</v>
      </c>
      <c r="N34" s="16" t="str">
        <f t="shared" si="2"/>
        <v>TrueSef_F_3_TrueSeq_R_A710</v>
      </c>
      <c r="O34" s="16" t="str">
        <f t="shared" si="2"/>
        <v>TrueSef_F_3_TrueSeq_R_A711</v>
      </c>
      <c r="P34" s="21"/>
      <c r="Q34" s="23"/>
      <c r="R34" s="23"/>
      <c r="S34" s="55"/>
      <c r="T34" s="17" t="s">
        <v>33</v>
      </c>
      <c r="U34" s="14" t="s">
        <v>25</v>
      </c>
      <c r="V34" s="16" t="str">
        <f t="shared" si="4"/>
        <v>TrueSeq_R_A701</v>
      </c>
      <c r="W34" s="16" t="str">
        <f t="shared" si="4"/>
        <v>TrueSeq_R_A702</v>
      </c>
      <c r="X34" s="16" t="str">
        <f t="shared" si="4"/>
        <v>TrueSeq_R_A703</v>
      </c>
      <c r="Y34" s="16" t="str">
        <f t="shared" si="4"/>
        <v>TrueSeq_R_A704</v>
      </c>
      <c r="Z34" s="16" t="str">
        <f t="shared" si="4"/>
        <v>TrueSeq_R_A705</v>
      </c>
      <c r="AA34" s="16" t="str">
        <f t="shared" si="4"/>
        <v>TrueSeq_R_A706</v>
      </c>
      <c r="AB34" s="16" t="str">
        <f t="shared" si="4"/>
        <v>TrueSeq_R_A707</v>
      </c>
      <c r="AC34" s="16" t="str">
        <f t="shared" si="4"/>
        <v>TrueSeq_R_A708</v>
      </c>
      <c r="AD34" s="16" t="str">
        <f t="shared" si="4"/>
        <v>TrueSeq_R_A709</v>
      </c>
      <c r="AE34" s="16" t="str">
        <f t="shared" si="4"/>
        <v>TrueSeq_R_A710</v>
      </c>
      <c r="AF34" s="16"/>
      <c r="AG34" s="21"/>
      <c r="AH34" s="23"/>
    </row>
    <row r="35" spans="1:34">
      <c r="A35" s="23"/>
      <c r="B35" s="55"/>
      <c r="C35" s="17" t="s">
        <v>34</v>
      </c>
      <c r="D35" s="14" t="s">
        <v>26</v>
      </c>
      <c r="E35" s="16" t="str">
        <f t="shared" si="2"/>
        <v>TrueSef_F_4_TrueSeq_R_A701</v>
      </c>
      <c r="F35" s="16" t="str">
        <f t="shared" si="2"/>
        <v>TrueSef_F_4_TrueSeq_R_A702</v>
      </c>
      <c r="G35" s="16" t="str">
        <f t="shared" si="2"/>
        <v>TrueSef_F_4_TrueSeq_R_A703</v>
      </c>
      <c r="H35" s="16" t="str">
        <f t="shared" si="2"/>
        <v>TrueSef_F_4_TrueSeq_R_A704</v>
      </c>
      <c r="I35" s="16" t="str">
        <f t="shared" si="2"/>
        <v>TrueSef_F_4_TrueSeq_R_A705</v>
      </c>
      <c r="J35" s="16" t="str">
        <f t="shared" si="2"/>
        <v>TrueSef_F_4_TrueSeq_R_A706</v>
      </c>
      <c r="K35" s="16" t="str">
        <f t="shared" si="2"/>
        <v>TrueSef_F_4_TrueSeq_R_A707</v>
      </c>
      <c r="L35" s="16" t="str">
        <f t="shared" si="2"/>
        <v>TrueSef_F_4_TrueSeq_R_A708</v>
      </c>
      <c r="M35" s="16" t="str">
        <f t="shared" si="2"/>
        <v>TrueSef_F_4_TrueSeq_R_A709</v>
      </c>
      <c r="N35" s="16" t="str">
        <f t="shared" si="2"/>
        <v>TrueSef_F_4_TrueSeq_R_A710</v>
      </c>
      <c r="O35" s="16" t="str">
        <f t="shared" si="2"/>
        <v>TrueSef_F_4_TrueSeq_R_A711</v>
      </c>
      <c r="P35" s="21"/>
      <c r="Q35" s="23"/>
      <c r="R35" s="23"/>
      <c r="S35" s="55"/>
      <c r="T35" s="17" t="s">
        <v>34</v>
      </c>
      <c r="U35" s="14" t="s">
        <v>26</v>
      </c>
      <c r="V35" s="16" t="str">
        <f t="shared" si="4"/>
        <v>TrueSeq_R_A701</v>
      </c>
      <c r="W35" s="16" t="str">
        <f t="shared" si="4"/>
        <v>TrueSeq_R_A702</v>
      </c>
      <c r="X35" s="16" t="str">
        <f t="shared" si="4"/>
        <v>TrueSeq_R_A703</v>
      </c>
      <c r="Y35" s="16" t="str">
        <f t="shared" si="4"/>
        <v>TrueSeq_R_A704</v>
      </c>
      <c r="Z35" s="16" t="str">
        <f t="shared" si="4"/>
        <v>TrueSeq_R_A705</v>
      </c>
      <c r="AA35" s="16" t="str">
        <f t="shared" si="4"/>
        <v>TrueSeq_R_A706</v>
      </c>
      <c r="AB35" s="16" t="str">
        <f t="shared" si="4"/>
        <v>TrueSeq_R_A707</v>
      </c>
      <c r="AC35" s="16" t="str">
        <f t="shared" si="4"/>
        <v>TrueSeq_R_A708</v>
      </c>
      <c r="AD35" s="16" t="str">
        <f t="shared" si="4"/>
        <v>TrueSeq_R_A709</v>
      </c>
      <c r="AE35" s="16" t="str">
        <f t="shared" si="4"/>
        <v>TrueSeq_R_A710</v>
      </c>
      <c r="AF35" s="16"/>
      <c r="AG35" s="21"/>
      <c r="AH35" s="23"/>
    </row>
    <row r="36" spans="1:34">
      <c r="A36" s="23"/>
      <c r="B36" s="55"/>
      <c r="C36" s="17" t="s">
        <v>35</v>
      </c>
      <c r="D36" s="14" t="s">
        <v>27</v>
      </c>
      <c r="E36" s="16" t="str">
        <f t="shared" si="2"/>
        <v>TrueSef_F_5_TrueSeq_R_A701</v>
      </c>
      <c r="F36" s="16" t="str">
        <f t="shared" si="2"/>
        <v>TrueSef_F_5_TrueSeq_R_A702</v>
      </c>
      <c r="G36" s="16" t="str">
        <f t="shared" si="2"/>
        <v>TrueSef_F_5_TrueSeq_R_A703</v>
      </c>
      <c r="H36" s="16" t="str">
        <f t="shared" si="2"/>
        <v>TrueSef_F_5_TrueSeq_R_A704</v>
      </c>
      <c r="I36" s="16" t="str">
        <f t="shared" si="2"/>
        <v>TrueSef_F_5_TrueSeq_R_A705</v>
      </c>
      <c r="J36" s="16" t="str">
        <f t="shared" si="2"/>
        <v>TrueSef_F_5_TrueSeq_R_A706</v>
      </c>
      <c r="K36" s="16" t="str">
        <f t="shared" si="2"/>
        <v>TrueSef_F_5_TrueSeq_R_A707</v>
      </c>
      <c r="L36" s="16" t="str">
        <f t="shared" si="2"/>
        <v>TrueSef_F_5_TrueSeq_R_A708</v>
      </c>
      <c r="M36" s="16" t="str">
        <f t="shared" si="2"/>
        <v>TrueSef_F_5_TrueSeq_R_A709</v>
      </c>
      <c r="N36" s="16" t="str">
        <f t="shared" si="2"/>
        <v>TrueSef_F_5_TrueSeq_R_A710</v>
      </c>
      <c r="O36" s="16" t="str">
        <f t="shared" si="2"/>
        <v>TrueSef_F_5_TrueSeq_R_A711</v>
      </c>
      <c r="P36" s="21"/>
      <c r="Q36" s="23"/>
      <c r="R36" s="23"/>
      <c r="S36" s="55"/>
      <c r="T36" s="17" t="s">
        <v>35</v>
      </c>
      <c r="U36" s="14" t="s">
        <v>27</v>
      </c>
      <c r="V36" s="16" t="str">
        <f t="shared" si="4"/>
        <v>TrueSeq_R_A701</v>
      </c>
      <c r="W36" s="16" t="str">
        <f t="shared" si="4"/>
        <v>TrueSeq_R_A702</v>
      </c>
      <c r="X36" s="16" t="str">
        <f t="shared" si="4"/>
        <v>TrueSeq_R_A703</v>
      </c>
      <c r="Y36" s="16" t="str">
        <f t="shared" si="4"/>
        <v>TrueSeq_R_A704</v>
      </c>
      <c r="Z36" s="16" t="str">
        <f t="shared" si="4"/>
        <v>TrueSeq_R_A705</v>
      </c>
      <c r="AA36" s="16" t="str">
        <f t="shared" si="4"/>
        <v>TrueSeq_R_A706</v>
      </c>
      <c r="AB36" s="16" t="str">
        <f t="shared" si="4"/>
        <v>TrueSeq_R_A707</v>
      </c>
      <c r="AC36" s="16" t="str">
        <f t="shared" si="4"/>
        <v>TrueSeq_R_A708</v>
      </c>
      <c r="AD36" s="16" t="str">
        <f t="shared" si="4"/>
        <v>TrueSeq_R_A709</v>
      </c>
      <c r="AE36" s="16" t="str">
        <f t="shared" si="4"/>
        <v>TrueSeq_R_A710</v>
      </c>
      <c r="AF36" s="16"/>
      <c r="AG36" s="21"/>
      <c r="AH36" s="23"/>
    </row>
    <row r="37" spans="1:34">
      <c r="A37" s="23"/>
      <c r="B37" s="55"/>
      <c r="C37" s="17" t="s">
        <v>36</v>
      </c>
      <c r="D37" s="14" t="s">
        <v>28</v>
      </c>
      <c r="E37" s="16" t="str">
        <f t="shared" si="2"/>
        <v>TrueSef_F_6_TrueSeq_R_A701</v>
      </c>
      <c r="F37" s="16" t="str">
        <f t="shared" si="2"/>
        <v>TrueSef_F_6_TrueSeq_R_A702</v>
      </c>
      <c r="G37" s="16" t="str">
        <f t="shared" si="2"/>
        <v>TrueSef_F_6_TrueSeq_R_A703</v>
      </c>
      <c r="H37" s="16" t="str">
        <f t="shared" si="2"/>
        <v>TrueSef_F_6_TrueSeq_R_A704</v>
      </c>
      <c r="I37" s="16" t="str">
        <f t="shared" si="2"/>
        <v>TrueSef_F_6_TrueSeq_R_A705</v>
      </c>
      <c r="J37" s="16" t="str">
        <f t="shared" si="2"/>
        <v>TrueSef_F_6_TrueSeq_R_A706</v>
      </c>
      <c r="K37" s="16" t="str">
        <f t="shared" si="2"/>
        <v>TrueSef_F_6_TrueSeq_R_A707</v>
      </c>
      <c r="L37" s="16" t="str">
        <f t="shared" si="2"/>
        <v>TrueSef_F_6_TrueSeq_R_A708</v>
      </c>
      <c r="M37" s="16" t="str">
        <f t="shared" si="2"/>
        <v>TrueSef_F_6_TrueSeq_R_A709</v>
      </c>
      <c r="N37" s="16" t="str">
        <f t="shared" si="2"/>
        <v>TrueSef_F_6_TrueSeq_R_A710</v>
      </c>
      <c r="O37" s="16" t="str">
        <f t="shared" si="2"/>
        <v>TrueSef_F_6_TrueSeq_R_A711</v>
      </c>
      <c r="P37" s="21"/>
      <c r="Q37" s="23"/>
      <c r="R37" s="23"/>
      <c r="S37" s="55"/>
      <c r="T37" s="17" t="s">
        <v>36</v>
      </c>
      <c r="U37" s="14" t="s">
        <v>28</v>
      </c>
      <c r="V37" s="16" t="str">
        <f t="shared" si="4"/>
        <v>TrueSeq_R_A701</v>
      </c>
      <c r="W37" s="16" t="str">
        <f t="shared" si="4"/>
        <v>TrueSeq_R_A702</v>
      </c>
      <c r="X37" s="16" t="str">
        <f t="shared" si="4"/>
        <v>TrueSeq_R_A703</v>
      </c>
      <c r="Y37" s="16" t="str">
        <f t="shared" si="4"/>
        <v>TrueSeq_R_A704</v>
      </c>
      <c r="Z37" s="16" t="str">
        <f t="shared" si="4"/>
        <v>TrueSeq_R_A705</v>
      </c>
      <c r="AA37" s="16" t="str">
        <f t="shared" si="4"/>
        <v>TrueSeq_R_A706</v>
      </c>
      <c r="AB37" s="16" t="str">
        <f t="shared" si="4"/>
        <v>TrueSeq_R_A707</v>
      </c>
      <c r="AC37" s="16" t="str">
        <f t="shared" si="4"/>
        <v>TrueSeq_R_A708</v>
      </c>
      <c r="AD37" s="16" t="str">
        <f t="shared" si="4"/>
        <v>TrueSeq_R_A709</v>
      </c>
      <c r="AE37" s="16" t="str">
        <f t="shared" si="4"/>
        <v>TrueSeq_R_A710</v>
      </c>
      <c r="AF37" s="16"/>
      <c r="AG37" s="21"/>
      <c r="AH37" s="23"/>
    </row>
    <row r="38" spans="1:34">
      <c r="A38" s="23"/>
      <c r="B38" s="55"/>
      <c r="C38" s="17" t="s">
        <v>37</v>
      </c>
      <c r="D38" s="14" t="s">
        <v>29</v>
      </c>
      <c r="E38" s="16" t="str">
        <f t="shared" si="2"/>
        <v>TrueSef_F_7_TrueSeq_R_A701</v>
      </c>
      <c r="F38" s="16" t="str">
        <f t="shared" si="2"/>
        <v>TrueSef_F_7_TrueSeq_R_A702</v>
      </c>
      <c r="G38" s="16" t="str">
        <f t="shared" si="2"/>
        <v>TrueSef_F_7_TrueSeq_R_A703</v>
      </c>
      <c r="H38" s="16" t="str">
        <f t="shared" si="2"/>
        <v>TrueSef_F_7_TrueSeq_R_A704</v>
      </c>
      <c r="I38" s="16" t="str">
        <f t="shared" si="2"/>
        <v>TrueSef_F_7_TrueSeq_R_A705</v>
      </c>
      <c r="J38" s="16" t="str">
        <f t="shared" si="2"/>
        <v>TrueSef_F_7_TrueSeq_R_A706</v>
      </c>
      <c r="K38" s="16" t="str">
        <f t="shared" si="2"/>
        <v>TrueSef_F_7_TrueSeq_R_A707</v>
      </c>
      <c r="L38" s="16" t="str">
        <f t="shared" si="2"/>
        <v>TrueSef_F_7_TrueSeq_R_A708</v>
      </c>
      <c r="M38" s="16" t="str">
        <f t="shared" si="2"/>
        <v>TrueSef_F_7_TrueSeq_R_A709</v>
      </c>
      <c r="N38" s="16" t="str">
        <f t="shared" si="2"/>
        <v>TrueSef_F_7_TrueSeq_R_A710</v>
      </c>
      <c r="O38" s="16" t="str">
        <f t="shared" si="2"/>
        <v>TrueSef_F_7_TrueSeq_R_A711</v>
      </c>
      <c r="P38" s="21"/>
      <c r="Q38" s="23"/>
      <c r="R38" s="23"/>
      <c r="S38" s="55"/>
      <c r="T38" s="17" t="s">
        <v>37</v>
      </c>
      <c r="U38" s="14" t="s">
        <v>29</v>
      </c>
      <c r="V38" s="16" t="str">
        <f t="shared" si="4"/>
        <v>TrueSeq_R_A701</v>
      </c>
      <c r="W38" s="16" t="str">
        <f t="shared" si="4"/>
        <v>TrueSeq_R_A702</v>
      </c>
      <c r="X38" s="16" t="str">
        <f t="shared" si="4"/>
        <v>TrueSeq_R_A703</v>
      </c>
      <c r="Y38" s="16" t="str">
        <f t="shared" si="4"/>
        <v>TrueSeq_R_A704</v>
      </c>
      <c r="Z38" s="16" t="str">
        <f t="shared" si="4"/>
        <v>TrueSeq_R_A705</v>
      </c>
      <c r="AA38" s="16" t="str">
        <f t="shared" si="4"/>
        <v>TrueSeq_R_A706</v>
      </c>
      <c r="AB38" s="16" t="str">
        <f t="shared" si="4"/>
        <v>TrueSeq_R_A707</v>
      </c>
      <c r="AC38" s="16" t="str">
        <f t="shared" si="4"/>
        <v>TrueSeq_R_A708</v>
      </c>
      <c r="AD38" s="16" t="str">
        <f t="shared" si="4"/>
        <v>TrueSeq_R_A709</v>
      </c>
      <c r="AE38" s="16" t="str">
        <f t="shared" si="4"/>
        <v>TrueSeq_R_A710</v>
      </c>
      <c r="AF38" s="16"/>
      <c r="AG38" s="21"/>
      <c r="AH38" s="23"/>
    </row>
    <row r="39" spans="1:34">
      <c r="A39" s="23"/>
      <c r="B39" s="55"/>
      <c r="C39" s="17" t="s">
        <v>38</v>
      </c>
      <c r="D39" s="14" t="s">
        <v>30</v>
      </c>
      <c r="E39" s="16" t="str">
        <f t="shared" si="2"/>
        <v>TrueSef_F_8_TrueSeq_R_A701</v>
      </c>
      <c r="F39" s="16" t="str">
        <f t="shared" si="2"/>
        <v>TrueSef_F_8_TrueSeq_R_A702</v>
      </c>
      <c r="G39" s="16" t="str">
        <f t="shared" si="2"/>
        <v>TrueSef_F_8_TrueSeq_R_A703</v>
      </c>
      <c r="H39" s="16" t="str">
        <f t="shared" si="2"/>
        <v>TrueSef_F_8_TrueSeq_R_A704</v>
      </c>
      <c r="I39" s="16" t="str">
        <f t="shared" si="2"/>
        <v>TrueSef_F_8_TrueSeq_R_A705</v>
      </c>
      <c r="J39" s="16" t="str">
        <f t="shared" si="2"/>
        <v>TrueSef_F_8_TrueSeq_R_A706</v>
      </c>
      <c r="K39" s="16" t="str">
        <f t="shared" si="2"/>
        <v>TrueSef_F_8_TrueSeq_R_A707</v>
      </c>
      <c r="L39" s="16" t="str">
        <f t="shared" si="2"/>
        <v>TrueSef_F_8_TrueSeq_R_A708</v>
      </c>
      <c r="M39" s="16" t="str">
        <f t="shared" si="2"/>
        <v>TrueSef_F_8_TrueSeq_R_A709</v>
      </c>
      <c r="N39" s="16" t="str">
        <f t="shared" si="2"/>
        <v>TrueSef_F_8_TrueSeq_R_A710</v>
      </c>
      <c r="O39" s="16" t="str">
        <f t="shared" si="2"/>
        <v>TrueSef_F_8_TrueSeq_R_A711</v>
      </c>
      <c r="P39" s="21"/>
      <c r="Q39" s="23"/>
      <c r="R39" s="23"/>
      <c r="S39" s="55"/>
      <c r="T39" s="17" t="s">
        <v>38</v>
      </c>
      <c r="U39" s="14" t="s">
        <v>30</v>
      </c>
      <c r="V39" s="16" t="str">
        <f t="shared" si="4"/>
        <v>TrueSeq_R_A701</v>
      </c>
      <c r="W39" s="16" t="str">
        <f t="shared" si="4"/>
        <v>TrueSeq_R_A702</v>
      </c>
      <c r="X39" s="16" t="str">
        <f t="shared" si="4"/>
        <v>TrueSeq_R_A703</v>
      </c>
      <c r="Y39" s="16" t="str">
        <f t="shared" si="4"/>
        <v>TrueSeq_R_A704</v>
      </c>
      <c r="Z39" s="16" t="str">
        <f t="shared" si="4"/>
        <v>TrueSeq_R_A705</v>
      </c>
      <c r="AA39" s="16" t="str">
        <f t="shared" si="4"/>
        <v>TrueSeq_R_A706</v>
      </c>
      <c r="AB39" s="16" t="str">
        <f t="shared" si="4"/>
        <v>TrueSeq_R_A707</v>
      </c>
      <c r="AC39" s="16" t="str">
        <f t="shared" si="4"/>
        <v>TrueSeq_R_A708</v>
      </c>
      <c r="AD39" s="16" t="str">
        <f t="shared" si="4"/>
        <v>TrueSeq_R_A709</v>
      </c>
      <c r="AE39" s="16" t="str">
        <f t="shared" si="4"/>
        <v>TrueSeq_R_A710</v>
      </c>
      <c r="AF39" s="16"/>
      <c r="AG39" s="21"/>
      <c r="AH39" s="23"/>
    </row>
    <row r="40" spans="1:34">
      <c r="A40" s="23"/>
      <c r="B40" s="3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35"/>
      <c r="Q40" s="23"/>
      <c r="R40" s="23"/>
      <c r="S40" s="34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35"/>
      <c r="AH40" s="23"/>
    </row>
    <row r="41" spans="1:34">
      <c r="A41" s="23"/>
      <c r="B41" s="34"/>
      <c r="C41" s="23"/>
      <c r="D41" s="23"/>
      <c r="E41" s="16" t="s">
        <v>71</v>
      </c>
      <c r="F41" s="23"/>
      <c r="G41" s="23"/>
      <c r="H41" s="23"/>
      <c r="I41" s="23"/>
      <c r="J41" s="23"/>
      <c r="K41" s="23"/>
      <c r="L41" s="23"/>
      <c r="M41" s="23"/>
      <c r="N41" s="23" t="s">
        <v>68</v>
      </c>
      <c r="O41" s="23"/>
      <c r="P41" s="35"/>
      <c r="Q41" s="23"/>
      <c r="R41" s="23"/>
      <c r="S41" s="34"/>
      <c r="T41" s="23"/>
      <c r="U41" s="23"/>
      <c r="V41" s="16" t="s">
        <v>71</v>
      </c>
      <c r="W41" s="23"/>
      <c r="X41" s="23"/>
      <c r="Y41" s="23"/>
      <c r="Z41" s="23"/>
      <c r="AA41" s="23"/>
      <c r="AB41" s="23"/>
      <c r="AC41" s="23"/>
      <c r="AD41" s="23"/>
      <c r="AE41" s="23" t="s">
        <v>68</v>
      </c>
      <c r="AF41" s="23"/>
      <c r="AG41" s="35"/>
      <c r="AH41" s="23"/>
    </row>
    <row r="42" spans="1:34">
      <c r="A42" s="23"/>
      <c r="B42" s="34"/>
      <c r="C42" s="23"/>
      <c r="D42" s="23"/>
      <c r="E42" s="19" t="s">
        <v>39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35"/>
      <c r="Q42" s="23"/>
      <c r="R42" s="23"/>
      <c r="S42" s="34"/>
      <c r="T42" s="23"/>
      <c r="U42" s="23"/>
      <c r="V42" s="19" t="s">
        <v>39</v>
      </c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35"/>
      <c r="AH42" s="23"/>
    </row>
    <row r="43" spans="1:34">
      <c r="A43" s="23"/>
      <c r="B43" s="34"/>
      <c r="C43" s="23"/>
      <c r="D43" s="23"/>
      <c r="E43" s="18" t="s">
        <v>54</v>
      </c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35"/>
      <c r="Q43" s="23"/>
      <c r="R43" s="23"/>
      <c r="S43" s="34"/>
      <c r="T43" s="23"/>
      <c r="U43" s="23"/>
      <c r="V43" s="18" t="s">
        <v>54</v>
      </c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35"/>
      <c r="AH43" s="23"/>
    </row>
    <row r="44" spans="1:34" ht="16" thickBot="1">
      <c r="A44" s="23"/>
      <c r="B44" s="38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7"/>
      <c r="Q44" s="23"/>
      <c r="R44" s="23"/>
      <c r="S44" s="38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23"/>
    </row>
    <row r="45" spans="1:34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34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34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spans="1:27">
      <c r="A49" s="23"/>
    </row>
    <row r="51" spans="1:27" ht="64">
      <c r="S51" s="47" t="s">
        <v>53</v>
      </c>
      <c r="T51" s="47" t="s">
        <v>105</v>
      </c>
      <c r="U51" s="48" t="s">
        <v>115</v>
      </c>
      <c r="V51" s="47" t="s">
        <v>117</v>
      </c>
      <c r="W51" s="47" t="s">
        <v>116</v>
      </c>
      <c r="X51" s="47"/>
    </row>
    <row r="52" spans="1:27" ht="16">
      <c r="S52" s="7">
        <v>1</v>
      </c>
      <c r="T52" s="6" t="s">
        <v>106</v>
      </c>
      <c r="U52" s="6" t="s">
        <v>40</v>
      </c>
      <c r="V52" s="49" t="s">
        <v>121</v>
      </c>
      <c r="W52" s="6" t="s">
        <v>31</v>
      </c>
      <c r="X52" s="49" t="s">
        <v>107</v>
      </c>
    </row>
    <row r="53" spans="1:27" ht="16">
      <c r="S53" s="7">
        <v>2</v>
      </c>
      <c r="T53" s="6" t="s">
        <v>106</v>
      </c>
      <c r="U53" s="6" t="s">
        <v>40</v>
      </c>
      <c r="V53" s="49" t="s">
        <v>121</v>
      </c>
      <c r="W53" s="6" t="s">
        <v>32</v>
      </c>
      <c r="X53" s="49" t="s">
        <v>108</v>
      </c>
    </row>
    <row r="54" spans="1:27" ht="16">
      <c r="S54" s="7">
        <v>3</v>
      </c>
      <c r="T54" s="6" t="s">
        <v>106</v>
      </c>
      <c r="U54" s="6" t="s">
        <v>40</v>
      </c>
      <c r="V54" s="49" t="s">
        <v>121</v>
      </c>
      <c r="W54" s="6" t="s">
        <v>33</v>
      </c>
      <c r="X54" s="49" t="s">
        <v>109</v>
      </c>
    </row>
    <row r="55" spans="1:27" ht="16">
      <c r="S55" s="7">
        <v>4</v>
      </c>
      <c r="T55" s="6" t="s">
        <v>106</v>
      </c>
      <c r="U55" s="6" t="s">
        <v>40</v>
      </c>
      <c r="V55" s="49" t="s">
        <v>121</v>
      </c>
      <c r="W55" s="6" t="s">
        <v>34</v>
      </c>
      <c r="X55" s="49" t="s">
        <v>110</v>
      </c>
    </row>
    <row r="56" spans="1:27" ht="16">
      <c r="S56" s="7">
        <v>5</v>
      </c>
      <c r="T56" s="6" t="s">
        <v>106</v>
      </c>
      <c r="U56" s="6" t="s">
        <v>40</v>
      </c>
      <c r="V56" s="49" t="s">
        <v>121</v>
      </c>
      <c r="W56" s="6" t="s">
        <v>35</v>
      </c>
      <c r="X56" s="49" t="s">
        <v>111</v>
      </c>
    </row>
    <row r="57" spans="1:27" ht="16">
      <c r="S57" s="7">
        <v>6</v>
      </c>
      <c r="T57" s="6" t="s">
        <v>106</v>
      </c>
      <c r="U57" s="6" t="s">
        <v>40</v>
      </c>
      <c r="V57" s="49" t="s">
        <v>121</v>
      </c>
      <c r="W57" s="6" t="s">
        <v>36</v>
      </c>
      <c r="X57" s="49" t="s">
        <v>112</v>
      </c>
    </row>
    <row r="58" spans="1:27" ht="16">
      <c r="S58" s="7">
        <v>7</v>
      </c>
      <c r="T58" s="6" t="s">
        <v>106</v>
      </c>
      <c r="U58" s="6" t="s">
        <v>40</v>
      </c>
      <c r="V58" s="49" t="s">
        <v>121</v>
      </c>
      <c r="W58" s="6" t="s">
        <v>37</v>
      </c>
      <c r="X58" s="49" t="s">
        <v>113</v>
      </c>
    </row>
    <row r="59" spans="1:27" ht="16">
      <c r="S59" s="7">
        <v>8</v>
      </c>
      <c r="T59" s="6" t="s">
        <v>106</v>
      </c>
      <c r="U59" s="6" t="s">
        <v>40</v>
      </c>
      <c r="V59" s="49" t="s">
        <v>121</v>
      </c>
      <c r="W59" s="6" t="s">
        <v>38</v>
      </c>
      <c r="X59" s="49" t="s">
        <v>114</v>
      </c>
    </row>
    <row r="60" spans="1:27" ht="16">
      <c r="S60" s="7">
        <v>9</v>
      </c>
      <c r="T60" s="6" t="s">
        <v>106</v>
      </c>
      <c r="U60" s="6" t="s">
        <v>41</v>
      </c>
      <c r="V60" s="49" t="s">
        <v>123</v>
      </c>
      <c r="W60" s="6" t="s">
        <v>31</v>
      </c>
      <c r="X60" s="49" t="s">
        <v>107</v>
      </c>
    </row>
    <row r="61" spans="1:27" ht="16">
      <c r="S61" s="7">
        <v>10</v>
      </c>
      <c r="T61" s="6" t="s">
        <v>106</v>
      </c>
      <c r="U61" s="6" t="s">
        <v>41</v>
      </c>
      <c r="V61" s="49" t="s">
        <v>123</v>
      </c>
      <c r="W61" s="6" t="s">
        <v>32</v>
      </c>
      <c r="X61" s="49" t="s">
        <v>108</v>
      </c>
      <c r="Z61" s="46" t="s">
        <v>118</v>
      </c>
      <c r="AA61" s="46" t="s">
        <v>119</v>
      </c>
    </row>
    <row r="62" spans="1:27" ht="16">
      <c r="S62" s="7">
        <v>11</v>
      </c>
      <c r="T62" s="6" t="s">
        <v>106</v>
      </c>
      <c r="U62" s="6" t="s">
        <v>41</v>
      </c>
      <c r="V62" s="49" t="s">
        <v>123</v>
      </c>
      <c r="W62" s="6" t="s">
        <v>33</v>
      </c>
      <c r="X62" s="49" t="s">
        <v>109</v>
      </c>
      <c r="Z62" s="45" t="s">
        <v>120</v>
      </c>
      <c r="AA62" s="45" t="s">
        <v>121</v>
      </c>
    </row>
    <row r="63" spans="1:27" ht="16">
      <c r="S63" s="7">
        <v>12</v>
      </c>
      <c r="T63" s="6" t="s">
        <v>106</v>
      </c>
      <c r="U63" s="6" t="s">
        <v>41</v>
      </c>
      <c r="V63" s="49" t="s">
        <v>123</v>
      </c>
      <c r="W63" s="6" t="s">
        <v>34</v>
      </c>
      <c r="X63" s="49" t="s">
        <v>110</v>
      </c>
      <c r="Z63" s="45" t="s">
        <v>122</v>
      </c>
      <c r="AA63" s="45" t="s">
        <v>123</v>
      </c>
    </row>
    <row r="64" spans="1:27" ht="16">
      <c r="S64" s="7">
        <v>13</v>
      </c>
      <c r="T64" s="6" t="s">
        <v>106</v>
      </c>
      <c r="U64" s="6" t="s">
        <v>41</v>
      </c>
      <c r="V64" s="49" t="s">
        <v>123</v>
      </c>
      <c r="W64" s="6" t="s">
        <v>35</v>
      </c>
      <c r="X64" s="49" t="s">
        <v>111</v>
      </c>
      <c r="Z64" s="45" t="s">
        <v>124</v>
      </c>
      <c r="AA64" s="45" t="s">
        <v>125</v>
      </c>
    </row>
    <row r="65" spans="19:27" ht="16">
      <c r="S65" s="7">
        <v>14</v>
      </c>
      <c r="T65" s="6" t="s">
        <v>106</v>
      </c>
      <c r="U65" s="6" t="s">
        <v>41</v>
      </c>
      <c r="V65" s="49" t="s">
        <v>123</v>
      </c>
      <c r="W65" s="6" t="s">
        <v>36</v>
      </c>
      <c r="X65" s="49" t="s">
        <v>112</v>
      </c>
      <c r="Z65" s="45" t="s">
        <v>126</v>
      </c>
      <c r="AA65" s="45" t="s">
        <v>127</v>
      </c>
    </row>
    <row r="66" spans="19:27" ht="16">
      <c r="S66" s="7">
        <v>15</v>
      </c>
      <c r="T66" s="6" t="s">
        <v>106</v>
      </c>
      <c r="U66" s="6" t="s">
        <v>41</v>
      </c>
      <c r="V66" s="49" t="s">
        <v>123</v>
      </c>
      <c r="W66" s="6" t="s">
        <v>37</v>
      </c>
      <c r="X66" s="49" t="s">
        <v>113</v>
      </c>
      <c r="Z66" s="45" t="s">
        <v>128</v>
      </c>
      <c r="AA66" s="45" t="s">
        <v>129</v>
      </c>
    </row>
    <row r="67" spans="19:27" ht="16">
      <c r="S67" s="7">
        <v>16</v>
      </c>
      <c r="T67" s="6" t="s">
        <v>106</v>
      </c>
      <c r="U67" s="6" t="s">
        <v>41</v>
      </c>
      <c r="V67" s="49" t="s">
        <v>123</v>
      </c>
      <c r="W67" s="6" t="s">
        <v>38</v>
      </c>
      <c r="X67" s="49" t="s">
        <v>114</v>
      </c>
      <c r="Z67" s="45" t="s">
        <v>130</v>
      </c>
      <c r="AA67" s="45" t="s">
        <v>131</v>
      </c>
    </row>
    <row r="68" spans="19:27" ht="16">
      <c r="S68" s="7">
        <v>17</v>
      </c>
      <c r="T68" s="6" t="s">
        <v>106</v>
      </c>
      <c r="U68" s="6" t="s">
        <v>42</v>
      </c>
      <c r="V68" s="49" t="s">
        <v>125</v>
      </c>
      <c r="W68" s="6" t="s">
        <v>31</v>
      </c>
      <c r="X68" s="49" t="s">
        <v>107</v>
      </c>
      <c r="Z68" s="45" t="s">
        <v>132</v>
      </c>
      <c r="AA68" s="45" t="s">
        <v>133</v>
      </c>
    </row>
    <row r="69" spans="19:27" ht="16">
      <c r="S69" s="7">
        <v>18</v>
      </c>
      <c r="T69" s="6" t="s">
        <v>106</v>
      </c>
      <c r="U69" s="6" t="s">
        <v>42</v>
      </c>
      <c r="V69" s="49" t="s">
        <v>125</v>
      </c>
      <c r="W69" s="6" t="s">
        <v>32</v>
      </c>
      <c r="X69" s="49" t="s">
        <v>108</v>
      </c>
      <c r="Z69" s="45" t="s">
        <v>134</v>
      </c>
      <c r="AA69" s="45" t="s">
        <v>135</v>
      </c>
    </row>
    <row r="70" spans="19:27" ht="16">
      <c r="S70" s="7">
        <v>19</v>
      </c>
      <c r="T70" s="6" t="s">
        <v>106</v>
      </c>
      <c r="U70" s="6" t="s">
        <v>42</v>
      </c>
      <c r="V70" s="49" t="s">
        <v>125</v>
      </c>
      <c r="W70" s="6" t="s">
        <v>33</v>
      </c>
      <c r="X70" s="49" t="s">
        <v>109</v>
      </c>
      <c r="Z70" s="45" t="s">
        <v>136</v>
      </c>
      <c r="AA70" s="45" t="s">
        <v>137</v>
      </c>
    </row>
    <row r="71" spans="19:27" ht="16">
      <c r="S71" s="7">
        <v>20</v>
      </c>
      <c r="T71" s="6" t="s">
        <v>106</v>
      </c>
      <c r="U71" s="6" t="s">
        <v>42</v>
      </c>
      <c r="V71" s="49" t="s">
        <v>125</v>
      </c>
      <c r="W71" s="6" t="s">
        <v>34</v>
      </c>
      <c r="X71" s="49" t="s">
        <v>110</v>
      </c>
      <c r="Z71" s="45" t="s">
        <v>138</v>
      </c>
      <c r="AA71" s="45" t="s">
        <v>139</v>
      </c>
    </row>
    <row r="72" spans="19:27" ht="16">
      <c r="S72" s="7">
        <v>21</v>
      </c>
      <c r="T72" s="6" t="s">
        <v>106</v>
      </c>
      <c r="U72" s="6" t="s">
        <v>42</v>
      </c>
      <c r="V72" s="49" t="s">
        <v>125</v>
      </c>
      <c r="W72" s="6" t="s">
        <v>35</v>
      </c>
      <c r="X72" s="49" t="s">
        <v>111</v>
      </c>
      <c r="Z72" s="45" t="s">
        <v>140</v>
      </c>
      <c r="AA72" s="45" t="s">
        <v>141</v>
      </c>
    </row>
    <row r="73" spans="19:27" ht="16">
      <c r="S73" s="7">
        <v>22</v>
      </c>
      <c r="T73" s="6" t="s">
        <v>106</v>
      </c>
      <c r="U73" s="6" t="s">
        <v>42</v>
      </c>
      <c r="V73" s="49" t="s">
        <v>125</v>
      </c>
      <c r="W73" s="6" t="s">
        <v>36</v>
      </c>
      <c r="X73" s="49" t="s">
        <v>112</v>
      </c>
      <c r="Z73" s="45" t="s">
        <v>142</v>
      </c>
      <c r="AA73" s="45" t="s">
        <v>143</v>
      </c>
    </row>
    <row r="74" spans="19:27" ht="16">
      <c r="S74" s="7">
        <v>23</v>
      </c>
      <c r="T74" s="6" t="s">
        <v>106</v>
      </c>
      <c r="U74" s="6" t="s">
        <v>42</v>
      </c>
      <c r="V74" s="49" t="s">
        <v>125</v>
      </c>
      <c r="W74" s="6" t="s">
        <v>37</v>
      </c>
      <c r="X74" s="49" t="s">
        <v>113</v>
      </c>
    </row>
    <row r="75" spans="19:27" ht="16">
      <c r="S75" s="7">
        <v>24</v>
      </c>
      <c r="T75" s="6" t="s">
        <v>106</v>
      </c>
      <c r="U75" s="6" t="s">
        <v>42</v>
      </c>
      <c r="V75" s="49" t="s">
        <v>125</v>
      </c>
      <c r="W75" s="6" t="s">
        <v>38</v>
      </c>
      <c r="X75" s="49" t="s">
        <v>114</v>
      </c>
    </row>
    <row r="76" spans="19:27" ht="16">
      <c r="S76" s="7">
        <v>25</v>
      </c>
      <c r="T76" s="6" t="s">
        <v>106</v>
      </c>
      <c r="U76" s="6" t="s">
        <v>43</v>
      </c>
      <c r="V76" s="49" t="s">
        <v>127</v>
      </c>
      <c r="W76" s="6" t="s">
        <v>31</v>
      </c>
      <c r="X76" s="49" t="s">
        <v>107</v>
      </c>
    </row>
    <row r="77" spans="19:27" ht="16">
      <c r="S77" s="7">
        <v>26</v>
      </c>
      <c r="T77" s="6" t="s">
        <v>106</v>
      </c>
      <c r="U77" s="6" t="s">
        <v>43</v>
      </c>
      <c r="V77" s="49" t="s">
        <v>127</v>
      </c>
      <c r="W77" s="6" t="s">
        <v>32</v>
      </c>
      <c r="X77" s="49" t="s">
        <v>108</v>
      </c>
    </row>
    <row r="78" spans="19:27" ht="16">
      <c r="S78" s="7">
        <v>27</v>
      </c>
      <c r="T78" s="6" t="s">
        <v>106</v>
      </c>
      <c r="U78" s="6" t="s">
        <v>43</v>
      </c>
      <c r="V78" s="49" t="s">
        <v>127</v>
      </c>
      <c r="W78" s="6" t="s">
        <v>33</v>
      </c>
      <c r="X78" s="49" t="s">
        <v>109</v>
      </c>
    </row>
    <row r="79" spans="19:27" ht="16">
      <c r="S79" s="7">
        <v>28</v>
      </c>
      <c r="T79" s="6" t="s">
        <v>106</v>
      </c>
      <c r="U79" s="6" t="s">
        <v>43</v>
      </c>
      <c r="V79" s="49" t="s">
        <v>127</v>
      </c>
      <c r="W79" s="6" t="s">
        <v>34</v>
      </c>
      <c r="X79" s="49" t="s">
        <v>110</v>
      </c>
    </row>
    <row r="80" spans="19:27" ht="16">
      <c r="S80" s="7">
        <v>29</v>
      </c>
      <c r="T80" s="6" t="s">
        <v>106</v>
      </c>
      <c r="U80" s="6" t="s">
        <v>43</v>
      </c>
      <c r="V80" s="49" t="s">
        <v>127</v>
      </c>
      <c r="W80" s="6" t="s">
        <v>35</v>
      </c>
      <c r="X80" s="49" t="s">
        <v>111</v>
      </c>
    </row>
    <row r="81" spans="19:24" ht="16">
      <c r="S81" s="7">
        <v>30</v>
      </c>
      <c r="T81" s="6" t="s">
        <v>106</v>
      </c>
      <c r="U81" s="6" t="s">
        <v>43</v>
      </c>
      <c r="V81" s="49" t="s">
        <v>127</v>
      </c>
      <c r="W81" s="6" t="s">
        <v>36</v>
      </c>
      <c r="X81" s="49" t="s">
        <v>112</v>
      </c>
    </row>
    <row r="82" spans="19:24" ht="16">
      <c r="S82" s="7">
        <v>31</v>
      </c>
      <c r="T82" s="6" t="s">
        <v>106</v>
      </c>
      <c r="U82" s="6" t="s">
        <v>43</v>
      </c>
      <c r="V82" s="49" t="s">
        <v>127</v>
      </c>
      <c r="W82" s="6" t="s">
        <v>37</v>
      </c>
      <c r="X82" s="49" t="s">
        <v>113</v>
      </c>
    </row>
    <row r="83" spans="19:24" ht="16">
      <c r="S83" s="7">
        <v>32</v>
      </c>
      <c r="T83" s="6" t="s">
        <v>106</v>
      </c>
      <c r="U83" s="6" t="s">
        <v>43</v>
      </c>
      <c r="V83" s="49" t="s">
        <v>127</v>
      </c>
      <c r="W83" s="6" t="s">
        <v>38</v>
      </c>
      <c r="X83" s="49" t="s">
        <v>114</v>
      </c>
    </row>
    <row r="84" spans="19:24" ht="16">
      <c r="S84" s="7">
        <v>33</v>
      </c>
      <c r="T84" s="6" t="s">
        <v>106</v>
      </c>
      <c r="U84" s="6" t="s">
        <v>44</v>
      </c>
      <c r="V84" s="49" t="s">
        <v>129</v>
      </c>
      <c r="W84" s="6" t="s">
        <v>31</v>
      </c>
      <c r="X84" s="49" t="s">
        <v>107</v>
      </c>
    </row>
    <row r="85" spans="19:24" ht="16">
      <c r="S85" s="7">
        <v>34</v>
      </c>
      <c r="T85" s="6" t="s">
        <v>106</v>
      </c>
      <c r="U85" s="6" t="s">
        <v>44</v>
      </c>
      <c r="V85" s="49" t="s">
        <v>129</v>
      </c>
      <c r="W85" s="6" t="s">
        <v>32</v>
      </c>
      <c r="X85" s="49" t="s">
        <v>108</v>
      </c>
    </row>
    <row r="86" spans="19:24" ht="16">
      <c r="S86" s="7">
        <v>35</v>
      </c>
      <c r="T86" s="6" t="s">
        <v>106</v>
      </c>
      <c r="U86" s="6" t="s">
        <v>44</v>
      </c>
      <c r="V86" s="49" t="s">
        <v>129</v>
      </c>
      <c r="W86" s="6" t="s">
        <v>33</v>
      </c>
      <c r="X86" s="49" t="s">
        <v>109</v>
      </c>
    </row>
    <row r="87" spans="19:24" ht="16">
      <c r="S87" s="7">
        <v>36</v>
      </c>
      <c r="T87" s="6" t="s">
        <v>106</v>
      </c>
      <c r="U87" s="6" t="s">
        <v>44</v>
      </c>
      <c r="V87" s="49" t="s">
        <v>129</v>
      </c>
      <c r="W87" s="6" t="s">
        <v>34</v>
      </c>
      <c r="X87" s="49" t="s">
        <v>110</v>
      </c>
    </row>
    <row r="88" spans="19:24" ht="16">
      <c r="S88" s="7">
        <v>37</v>
      </c>
      <c r="T88" s="6" t="s">
        <v>106</v>
      </c>
      <c r="U88" s="6" t="s">
        <v>44</v>
      </c>
      <c r="V88" s="49" t="s">
        <v>129</v>
      </c>
      <c r="W88" s="6" t="s">
        <v>35</v>
      </c>
      <c r="X88" s="49" t="s">
        <v>111</v>
      </c>
    </row>
    <row r="89" spans="19:24" ht="16">
      <c r="S89" s="7">
        <v>38</v>
      </c>
      <c r="T89" s="6" t="s">
        <v>106</v>
      </c>
      <c r="U89" s="6" t="s">
        <v>44</v>
      </c>
      <c r="V89" s="49" t="s">
        <v>129</v>
      </c>
      <c r="W89" s="6" t="s">
        <v>36</v>
      </c>
      <c r="X89" s="49" t="s">
        <v>112</v>
      </c>
    </row>
    <row r="90" spans="19:24" ht="16">
      <c r="S90" s="7">
        <v>39</v>
      </c>
      <c r="T90" s="6" t="s">
        <v>106</v>
      </c>
      <c r="U90" s="6" t="s">
        <v>44</v>
      </c>
      <c r="V90" s="49" t="s">
        <v>129</v>
      </c>
      <c r="W90" s="6" t="s">
        <v>37</v>
      </c>
      <c r="X90" s="49" t="s">
        <v>113</v>
      </c>
    </row>
    <row r="91" spans="19:24" ht="16">
      <c r="S91" s="7">
        <v>40</v>
      </c>
      <c r="T91" s="6" t="s">
        <v>106</v>
      </c>
      <c r="U91" s="6" t="s">
        <v>44</v>
      </c>
      <c r="V91" s="49" t="s">
        <v>129</v>
      </c>
      <c r="W91" s="6" t="s">
        <v>38</v>
      </c>
      <c r="X91" s="49" t="s">
        <v>114</v>
      </c>
    </row>
    <row r="92" spans="19:24" ht="16">
      <c r="S92" s="7">
        <v>41</v>
      </c>
      <c r="T92" s="6" t="s">
        <v>106</v>
      </c>
      <c r="U92" s="6" t="s">
        <v>45</v>
      </c>
      <c r="V92" s="49" t="s">
        <v>131</v>
      </c>
      <c r="W92" s="6" t="s">
        <v>31</v>
      </c>
      <c r="X92" s="49" t="s">
        <v>107</v>
      </c>
    </row>
    <row r="93" spans="19:24" ht="16">
      <c r="S93" s="7">
        <v>42</v>
      </c>
      <c r="T93" s="6" t="s">
        <v>106</v>
      </c>
      <c r="U93" s="6" t="s">
        <v>45</v>
      </c>
      <c r="V93" s="49" t="s">
        <v>131</v>
      </c>
      <c r="W93" s="6" t="s">
        <v>32</v>
      </c>
      <c r="X93" s="49" t="s">
        <v>108</v>
      </c>
    </row>
    <row r="94" spans="19:24" ht="16">
      <c r="S94" s="7">
        <v>43</v>
      </c>
      <c r="T94" s="6" t="s">
        <v>106</v>
      </c>
      <c r="U94" s="6" t="s">
        <v>45</v>
      </c>
      <c r="V94" s="49" t="s">
        <v>131</v>
      </c>
      <c r="W94" s="6" t="s">
        <v>33</v>
      </c>
      <c r="X94" s="49" t="s">
        <v>109</v>
      </c>
    </row>
    <row r="95" spans="19:24" ht="16">
      <c r="S95" s="7">
        <v>44</v>
      </c>
      <c r="T95" s="6" t="s">
        <v>106</v>
      </c>
      <c r="U95" s="6" t="s">
        <v>45</v>
      </c>
      <c r="V95" s="49" t="s">
        <v>131</v>
      </c>
      <c r="W95" s="6" t="s">
        <v>34</v>
      </c>
      <c r="X95" s="49" t="s">
        <v>110</v>
      </c>
    </row>
    <row r="96" spans="19:24" ht="16">
      <c r="S96" s="7">
        <v>45</v>
      </c>
      <c r="T96" s="6" t="s">
        <v>106</v>
      </c>
      <c r="U96" s="6" t="s">
        <v>45</v>
      </c>
      <c r="V96" s="49" t="s">
        <v>131</v>
      </c>
      <c r="W96" s="6" t="s">
        <v>35</v>
      </c>
      <c r="X96" s="49" t="s">
        <v>111</v>
      </c>
    </row>
    <row r="97" spans="19:24" ht="16">
      <c r="S97" s="7">
        <v>46</v>
      </c>
      <c r="T97" s="6" t="s">
        <v>106</v>
      </c>
      <c r="U97" s="6" t="s">
        <v>45</v>
      </c>
      <c r="V97" s="49" t="s">
        <v>131</v>
      </c>
      <c r="W97" s="6" t="s">
        <v>36</v>
      </c>
      <c r="X97" s="49" t="s">
        <v>112</v>
      </c>
    </row>
    <row r="98" spans="19:24" ht="16">
      <c r="S98" s="7">
        <v>47</v>
      </c>
      <c r="T98" s="6" t="s">
        <v>106</v>
      </c>
      <c r="U98" s="6" t="s">
        <v>45</v>
      </c>
      <c r="V98" s="49" t="s">
        <v>131</v>
      </c>
      <c r="W98" s="6" t="s">
        <v>37</v>
      </c>
      <c r="X98" s="49" t="s">
        <v>113</v>
      </c>
    </row>
    <row r="99" spans="19:24" ht="16">
      <c r="S99" s="7">
        <v>48</v>
      </c>
      <c r="T99" s="6" t="s">
        <v>106</v>
      </c>
      <c r="U99" s="6" t="s">
        <v>45</v>
      </c>
      <c r="V99" s="49" t="s">
        <v>131</v>
      </c>
      <c r="W99" s="6" t="s">
        <v>38</v>
      </c>
      <c r="X99" s="49" t="s">
        <v>114</v>
      </c>
    </row>
    <row r="100" spans="19:24" ht="16">
      <c r="S100" s="7">
        <v>49</v>
      </c>
      <c r="T100" s="6" t="s">
        <v>106</v>
      </c>
      <c r="U100" s="6" t="s">
        <v>46</v>
      </c>
      <c r="V100" s="49" t="s">
        <v>133</v>
      </c>
      <c r="W100" s="6" t="s">
        <v>31</v>
      </c>
      <c r="X100" s="49" t="s">
        <v>107</v>
      </c>
    </row>
    <row r="101" spans="19:24" ht="16">
      <c r="S101" s="7">
        <v>50</v>
      </c>
      <c r="T101" s="6" t="s">
        <v>106</v>
      </c>
      <c r="U101" s="6" t="s">
        <v>46</v>
      </c>
      <c r="V101" s="49" t="s">
        <v>133</v>
      </c>
      <c r="W101" s="6" t="s">
        <v>32</v>
      </c>
      <c r="X101" s="49" t="s">
        <v>108</v>
      </c>
    </row>
    <row r="102" spans="19:24" ht="16">
      <c r="S102" s="7">
        <v>51</v>
      </c>
      <c r="T102" s="6" t="s">
        <v>106</v>
      </c>
      <c r="U102" s="6" t="s">
        <v>46</v>
      </c>
      <c r="V102" s="49" t="s">
        <v>133</v>
      </c>
      <c r="W102" s="6" t="s">
        <v>33</v>
      </c>
      <c r="X102" s="49" t="s">
        <v>109</v>
      </c>
    </row>
    <row r="103" spans="19:24" ht="16">
      <c r="S103" s="7">
        <v>52</v>
      </c>
      <c r="T103" s="6" t="s">
        <v>106</v>
      </c>
      <c r="U103" s="6" t="s">
        <v>46</v>
      </c>
      <c r="V103" s="49" t="s">
        <v>133</v>
      </c>
      <c r="W103" s="6" t="s">
        <v>34</v>
      </c>
      <c r="X103" s="49" t="s">
        <v>110</v>
      </c>
    </row>
    <row r="104" spans="19:24" ht="16">
      <c r="S104" s="7">
        <v>53</v>
      </c>
      <c r="T104" s="6" t="s">
        <v>106</v>
      </c>
      <c r="U104" s="6" t="s">
        <v>46</v>
      </c>
      <c r="V104" s="49" t="s">
        <v>133</v>
      </c>
      <c r="W104" s="6" t="s">
        <v>35</v>
      </c>
      <c r="X104" s="49" t="s">
        <v>111</v>
      </c>
    </row>
    <row r="105" spans="19:24" ht="16">
      <c r="S105" s="7">
        <v>54</v>
      </c>
      <c r="T105" s="6" t="s">
        <v>106</v>
      </c>
      <c r="U105" s="6" t="s">
        <v>46</v>
      </c>
      <c r="V105" s="49" t="s">
        <v>133</v>
      </c>
      <c r="W105" s="6" t="s">
        <v>36</v>
      </c>
      <c r="X105" s="49" t="s">
        <v>112</v>
      </c>
    </row>
    <row r="106" spans="19:24" ht="16">
      <c r="S106" s="7">
        <v>55</v>
      </c>
      <c r="T106" s="6" t="s">
        <v>106</v>
      </c>
      <c r="U106" s="6" t="s">
        <v>46</v>
      </c>
      <c r="V106" s="49" t="s">
        <v>133</v>
      </c>
      <c r="W106" s="6" t="s">
        <v>37</v>
      </c>
      <c r="X106" s="49" t="s">
        <v>113</v>
      </c>
    </row>
    <row r="107" spans="19:24" ht="16">
      <c r="S107" s="7">
        <v>56</v>
      </c>
      <c r="T107" s="6" t="s">
        <v>106</v>
      </c>
      <c r="U107" s="6" t="s">
        <v>46</v>
      </c>
      <c r="V107" s="49" t="s">
        <v>133</v>
      </c>
      <c r="W107" s="6" t="s">
        <v>38</v>
      </c>
      <c r="X107" s="49" t="s">
        <v>114</v>
      </c>
    </row>
    <row r="108" spans="19:24" ht="16">
      <c r="S108" s="7">
        <v>57</v>
      </c>
      <c r="T108" s="6" t="s">
        <v>106</v>
      </c>
      <c r="U108" s="6" t="s">
        <v>47</v>
      </c>
      <c r="V108" s="49" t="s">
        <v>135</v>
      </c>
      <c r="W108" s="6" t="s">
        <v>31</v>
      </c>
      <c r="X108" s="49" t="s">
        <v>107</v>
      </c>
    </row>
    <row r="109" spans="19:24" ht="16">
      <c r="S109" s="7">
        <v>58</v>
      </c>
      <c r="T109" s="6" t="s">
        <v>106</v>
      </c>
      <c r="U109" s="6" t="s">
        <v>47</v>
      </c>
      <c r="V109" s="49" t="s">
        <v>135</v>
      </c>
      <c r="W109" s="6" t="s">
        <v>32</v>
      </c>
      <c r="X109" s="49" t="s">
        <v>108</v>
      </c>
    </row>
    <row r="110" spans="19:24" ht="16">
      <c r="S110" s="7">
        <v>59</v>
      </c>
      <c r="T110" s="6" t="s">
        <v>106</v>
      </c>
      <c r="U110" s="6" t="s">
        <v>47</v>
      </c>
      <c r="V110" s="49" t="s">
        <v>135</v>
      </c>
      <c r="W110" s="6" t="s">
        <v>33</v>
      </c>
      <c r="X110" s="49" t="s">
        <v>109</v>
      </c>
    </row>
    <row r="111" spans="19:24" ht="16">
      <c r="S111" s="7">
        <v>60</v>
      </c>
      <c r="T111" s="6" t="s">
        <v>106</v>
      </c>
      <c r="U111" s="6" t="s">
        <v>47</v>
      </c>
      <c r="V111" s="49" t="s">
        <v>135</v>
      </c>
      <c r="W111" s="6" t="s">
        <v>34</v>
      </c>
      <c r="X111" s="49" t="s">
        <v>110</v>
      </c>
    </row>
    <row r="112" spans="19:24" ht="16">
      <c r="S112" s="7">
        <v>61</v>
      </c>
      <c r="T112" s="6" t="s">
        <v>106</v>
      </c>
      <c r="U112" s="6" t="s">
        <v>47</v>
      </c>
      <c r="V112" s="49" t="s">
        <v>135</v>
      </c>
      <c r="W112" s="6" t="s">
        <v>35</v>
      </c>
      <c r="X112" s="49" t="s">
        <v>111</v>
      </c>
    </row>
    <row r="113" spans="19:24" ht="16">
      <c r="S113" s="7">
        <v>62</v>
      </c>
      <c r="T113" s="6" t="s">
        <v>106</v>
      </c>
      <c r="U113" s="6" t="s">
        <v>47</v>
      </c>
      <c r="V113" s="49" t="s">
        <v>135</v>
      </c>
      <c r="W113" s="6" t="s">
        <v>36</v>
      </c>
      <c r="X113" s="49" t="s">
        <v>112</v>
      </c>
    </row>
    <row r="114" spans="19:24" ht="16">
      <c r="S114" s="7">
        <v>63</v>
      </c>
      <c r="T114" s="6" t="s">
        <v>106</v>
      </c>
      <c r="U114" s="6" t="s">
        <v>47</v>
      </c>
      <c r="V114" s="49" t="s">
        <v>135</v>
      </c>
      <c r="W114" s="6" t="s">
        <v>37</v>
      </c>
      <c r="X114" s="49" t="s">
        <v>113</v>
      </c>
    </row>
    <row r="115" spans="19:24" ht="16">
      <c r="S115" s="7">
        <v>64</v>
      </c>
      <c r="T115" s="6" t="s">
        <v>106</v>
      </c>
      <c r="U115" s="6" t="s">
        <v>47</v>
      </c>
      <c r="V115" s="49" t="s">
        <v>135</v>
      </c>
      <c r="W115" s="6" t="s">
        <v>38</v>
      </c>
      <c r="X115" s="49" t="s">
        <v>114</v>
      </c>
    </row>
    <row r="116" spans="19:24" ht="16">
      <c r="S116" s="7">
        <v>65</v>
      </c>
      <c r="T116" s="6" t="s">
        <v>106</v>
      </c>
      <c r="U116" s="6" t="s">
        <v>48</v>
      </c>
      <c r="V116" s="49" t="s">
        <v>137</v>
      </c>
      <c r="W116" s="6" t="s">
        <v>31</v>
      </c>
      <c r="X116" s="49" t="s">
        <v>107</v>
      </c>
    </row>
    <row r="117" spans="19:24" ht="16">
      <c r="S117" s="7">
        <v>66</v>
      </c>
      <c r="T117" s="6" t="s">
        <v>106</v>
      </c>
      <c r="U117" s="6" t="s">
        <v>48</v>
      </c>
      <c r="V117" s="49" t="s">
        <v>137</v>
      </c>
      <c r="W117" s="6" t="s">
        <v>32</v>
      </c>
      <c r="X117" s="49" t="s">
        <v>108</v>
      </c>
    </row>
    <row r="118" spans="19:24" ht="16">
      <c r="S118" s="7">
        <v>67</v>
      </c>
      <c r="T118" s="6" t="s">
        <v>106</v>
      </c>
      <c r="U118" s="6" t="s">
        <v>48</v>
      </c>
      <c r="V118" s="49" t="s">
        <v>137</v>
      </c>
      <c r="W118" s="6" t="s">
        <v>33</v>
      </c>
      <c r="X118" s="49" t="s">
        <v>109</v>
      </c>
    </row>
    <row r="119" spans="19:24" ht="16">
      <c r="S119" s="7">
        <v>68</v>
      </c>
      <c r="T119" s="6" t="s">
        <v>106</v>
      </c>
      <c r="U119" s="6" t="s">
        <v>48</v>
      </c>
      <c r="V119" s="49" t="s">
        <v>137</v>
      </c>
      <c r="W119" s="6" t="s">
        <v>34</v>
      </c>
      <c r="X119" s="49" t="s">
        <v>110</v>
      </c>
    </row>
    <row r="120" spans="19:24" ht="16">
      <c r="S120" s="7">
        <v>69</v>
      </c>
      <c r="T120" s="6" t="s">
        <v>106</v>
      </c>
      <c r="U120" s="6" t="s">
        <v>48</v>
      </c>
      <c r="V120" s="49" t="s">
        <v>137</v>
      </c>
      <c r="W120" s="6" t="s">
        <v>35</v>
      </c>
      <c r="X120" s="49" t="s">
        <v>111</v>
      </c>
    </row>
    <row r="121" spans="19:24" ht="16">
      <c r="S121" s="7">
        <v>70</v>
      </c>
      <c r="T121" s="6" t="s">
        <v>106</v>
      </c>
      <c r="U121" s="6" t="s">
        <v>48</v>
      </c>
      <c r="V121" s="49" t="s">
        <v>137</v>
      </c>
      <c r="W121" s="6" t="s">
        <v>36</v>
      </c>
      <c r="X121" s="49" t="s">
        <v>112</v>
      </c>
    </row>
    <row r="122" spans="19:24" ht="16">
      <c r="S122" s="7">
        <v>71</v>
      </c>
      <c r="T122" s="6" t="s">
        <v>106</v>
      </c>
      <c r="U122" s="6" t="s">
        <v>48</v>
      </c>
      <c r="V122" s="49" t="s">
        <v>137</v>
      </c>
      <c r="W122" s="6" t="s">
        <v>37</v>
      </c>
      <c r="X122" s="49" t="s">
        <v>113</v>
      </c>
    </row>
    <row r="123" spans="19:24" ht="16">
      <c r="S123" s="7">
        <v>72</v>
      </c>
      <c r="T123" s="6" t="s">
        <v>106</v>
      </c>
      <c r="U123" s="6" t="s">
        <v>48</v>
      </c>
      <c r="V123" s="49" t="s">
        <v>137</v>
      </c>
      <c r="W123" s="6" t="s">
        <v>38</v>
      </c>
      <c r="X123" s="49" t="s">
        <v>114</v>
      </c>
    </row>
    <row r="124" spans="19:24" ht="16">
      <c r="S124" s="7">
        <v>73</v>
      </c>
      <c r="T124" s="6" t="s">
        <v>106</v>
      </c>
      <c r="U124" s="6" t="s">
        <v>49</v>
      </c>
      <c r="V124" s="49" t="s">
        <v>139</v>
      </c>
      <c r="W124" s="6" t="s">
        <v>31</v>
      </c>
      <c r="X124" s="49" t="s">
        <v>107</v>
      </c>
    </row>
    <row r="125" spans="19:24" ht="16">
      <c r="S125" s="7">
        <v>74</v>
      </c>
      <c r="T125" s="6" t="s">
        <v>106</v>
      </c>
      <c r="U125" s="6" t="s">
        <v>49</v>
      </c>
      <c r="V125" s="49" t="s">
        <v>139</v>
      </c>
      <c r="W125" s="6" t="s">
        <v>32</v>
      </c>
      <c r="X125" s="49" t="s">
        <v>108</v>
      </c>
    </row>
    <row r="126" spans="19:24" ht="16">
      <c r="S126" s="7">
        <v>75</v>
      </c>
      <c r="T126" s="6" t="s">
        <v>106</v>
      </c>
      <c r="U126" s="6" t="s">
        <v>49</v>
      </c>
      <c r="V126" s="49" t="s">
        <v>139</v>
      </c>
      <c r="W126" s="6" t="s">
        <v>33</v>
      </c>
      <c r="X126" s="49" t="s">
        <v>109</v>
      </c>
    </row>
    <row r="127" spans="19:24" ht="16">
      <c r="S127" s="7">
        <v>76</v>
      </c>
      <c r="T127" s="6" t="s">
        <v>106</v>
      </c>
      <c r="U127" s="6" t="s">
        <v>49</v>
      </c>
      <c r="V127" s="49" t="s">
        <v>139</v>
      </c>
      <c r="W127" s="6" t="s">
        <v>34</v>
      </c>
      <c r="X127" s="49" t="s">
        <v>110</v>
      </c>
    </row>
    <row r="128" spans="19:24" ht="16">
      <c r="S128" s="7">
        <v>77</v>
      </c>
      <c r="T128" s="6" t="s">
        <v>106</v>
      </c>
      <c r="U128" s="6" t="s">
        <v>49</v>
      </c>
      <c r="V128" s="49" t="s">
        <v>139</v>
      </c>
      <c r="W128" s="6" t="s">
        <v>35</v>
      </c>
      <c r="X128" s="49" t="s">
        <v>111</v>
      </c>
    </row>
    <row r="129" spans="19:24" ht="16">
      <c r="S129" s="7">
        <v>78</v>
      </c>
      <c r="T129" s="6" t="s">
        <v>106</v>
      </c>
      <c r="U129" s="6" t="s">
        <v>49</v>
      </c>
      <c r="V129" s="49" t="s">
        <v>139</v>
      </c>
      <c r="W129" s="6" t="s">
        <v>36</v>
      </c>
      <c r="X129" s="49" t="s">
        <v>112</v>
      </c>
    </row>
    <row r="130" spans="19:24" ht="16">
      <c r="S130" s="7">
        <v>79</v>
      </c>
      <c r="T130" s="6" t="s">
        <v>106</v>
      </c>
      <c r="U130" s="6" t="s">
        <v>49</v>
      </c>
      <c r="V130" s="49" t="s">
        <v>139</v>
      </c>
      <c r="W130" s="6" t="s">
        <v>37</v>
      </c>
      <c r="X130" s="49" t="s">
        <v>113</v>
      </c>
    </row>
    <row r="131" spans="19:24" ht="16">
      <c r="S131" s="7">
        <v>80</v>
      </c>
      <c r="T131" s="6" t="s">
        <v>106</v>
      </c>
      <c r="U131" s="6" t="s">
        <v>49</v>
      </c>
      <c r="V131" s="49" t="s">
        <v>139</v>
      </c>
      <c r="W131" s="6" t="s">
        <v>38</v>
      </c>
      <c r="X131" s="49" t="s">
        <v>114</v>
      </c>
    </row>
    <row r="132" spans="19:24" ht="16">
      <c r="S132" s="7">
        <v>81</v>
      </c>
      <c r="T132" s="6" t="s">
        <v>106</v>
      </c>
      <c r="U132" s="6" t="s">
        <v>50</v>
      </c>
      <c r="V132" s="49" t="s">
        <v>141</v>
      </c>
      <c r="W132" s="6" t="s">
        <v>31</v>
      </c>
      <c r="X132" s="49" t="s">
        <v>107</v>
      </c>
    </row>
  </sheetData>
  <mergeCells count="12">
    <mergeCell ref="B32:B39"/>
    <mergeCell ref="B11:B18"/>
    <mergeCell ref="E8:P8"/>
    <mergeCell ref="B5:P5"/>
    <mergeCell ref="B26:P26"/>
    <mergeCell ref="E29:P29"/>
    <mergeCell ref="S26:AG26"/>
    <mergeCell ref="V29:AG29"/>
    <mergeCell ref="S32:S39"/>
    <mergeCell ref="S3:AG3"/>
    <mergeCell ref="V6:AG6"/>
    <mergeCell ref="S9:S16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A779-8D47-2D43-AD58-FC186A47EF28}">
  <dimension ref="A2:BC80"/>
  <sheetViews>
    <sheetView workbookViewId="0">
      <selection activeCell="AF68" sqref="AF68"/>
    </sheetView>
  </sheetViews>
  <sheetFormatPr baseColWidth="10" defaultRowHeight="15"/>
  <cols>
    <col min="2" max="2" width="4.6640625" bestFit="1" customWidth="1"/>
    <col min="3" max="3" width="2.6640625" bestFit="1" customWidth="1"/>
    <col min="4" max="20" width="3.1640625" bestFit="1" customWidth="1"/>
    <col min="21" max="22" width="6.1640625" customWidth="1"/>
    <col min="23" max="23" width="16.33203125" bestFit="1" customWidth="1"/>
    <col min="24" max="24" width="2.6640625" bestFit="1" customWidth="1"/>
    <col min="25" max="25" width="3" customWidth="1"/>
    <col min="26" max="41" width="3.1640625" bestFit="1" customWidth="1"/>
    <col min="44" max="44" width="7.6640625" customWidth="1"/>
    <col min="45" max="55" width="3.33203125" customWidth="1"/>
    <col min="56" max="62" width="3.1640625" bestFit="1" customWidth="1"/>
  </cols>
  <sheetData>
    <row r="2" spans="1:42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42">
      <c r="A3" s="23"/>
      <c r="B3" s="63" t="s">
        <v>64</v>
      </c>
      <c r="C3" s="63"/>
      <c r="D3" s="63"/>
      <c r="E3" s="63"/>
      <c r="F3" s="6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spans="1:42">
      <c r="A4" s="23"/>
      <c r="B4" s="24" t="s">
        <v>58</v>
      </c>
      <c r="C4" s="24">
        <v>1</v>
      </c>
      <c r="D4" s="24">
        <v>2</v>
      </c>
      <c r="E4" s="24">
        <v>3</v>
      </c>
      <c r="F4" s="24">
        <v>4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</row>
    <row r="5" spans="1:42">
      <c r="A5" s="23"/>
      <c r="B5" s="24" t="s">
        <v>65</v>
      </c>
      <c r="C5" s="24" t="s">
        <v>59</v>
      </c>
      <c r="D5" s="24">
        <v>1</v>
      </c>
      <c r="E5" s="24">
        <v>2</v>
      </c>
      <c r="F5" s="24">
        <v>3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</row>
    <row r="6" spans="1:42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</row>
    <row r="7" spans="1:42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</row>
    <row r="8" spans="1:42">
      <c r="A8" s="23"/>
      <c r="B8" s="63" t="s">
        <v>57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24"/>
      <c r="V8" s="23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3"/>
    </row>
    <row r="9" spans="1:42">
      <c r="A9" s="23"/>
      <c r="B9" s="24" t="s">
        <v>58</v>
      </c>
      <c r="C9" s="24">
        <v>1</v>
      </c>
      <c r="D9" s="24">
        <v>2</v>
      </c>
      <c r="E9" s="24">
        <v>3</v>
      </c>
      <c r="F9" s="24">
        <v>4</v>
      </c>
      <c r="G9" s="24">
        <v>5</v>
      </c>
      <c r="H9" s="24">
        <v>6</v>
      </c>
      <c r="I9" s="24">
        <v>7</v>
      </c>
      <c r="J9" s="24">
        <v>8</v>
      </c>
      <c r="K9" s="24">
        <v>9</v>
      </c>
      <c r="L9" s="24">
        <v>10</v>
      </c>
      <c r="M9" s="24">
        <v>11</v>
      </c>
      <c r="N9" s="24">
        <v>12</v>
      </c>
      <c r="O9" s="24">
        <v>13</v>
      </c>
      <c r="P9" s="24">
        <v>14</v>
      </c>
      <c r="Q9" s="24">
        <v>15</v>
      </c>
      <c r="R9" s="24">
        <v>16</v>
      </c>
      <c r="S9" s="24">
        <v>17</v>
      </c>
      <c r="T9" s="24">
        <v>18</v>
      </c>
      <c r="U9" s="24"/>
      <c r="V9" s="23"/>
      <c r="W9" s="59" t="s">
        <v>78</v>
      </c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23"/>
    </row>
    <row r="10" spans="1:42">
      <c r="A10" s="23"/>
      <c r="B10" s="24" t="s">
        <v>65</v>
      </c>
      <c r="C10" s="24" t="s">
        <v>59</v>
      </c>
      <c r="D10" s="24">
        <v>4</v>
      </c>
      <c r="E10" s="24"/>
      <c r="F10" s="24">
        <v>5</v>
      </c>
      <c r="G10" s="24"/>
      <c r="H10" s="24">
        <v>6</v>
      </c>
      <c r="I10" s="24"/>
      <c r="J10" s="24">
        <v>7</v>
      </c>
      <c r="K10" s="24"/>
      <c r="L10" s="24">
        <v>8</v>
      </c>
      <c r="M10" s="24"/>
      <c r="N10" s="24" t="s">
        <v>27</v>
      </c>
      <c r="O10" s="24"/>
      <c r="P10" s="24" t="s">
        <v>27</v>
      </c>
      <c r="Q10" s="24"/>
      <c r="R10" s="24" t="s">
        <v>27</v>
      </c>
      <c r="S10" s="24"/>
      <c r="T10" s="24" t="s">
        <v>59</v>
      </c>
      <c r="U10" s="24"/>
      <c r="V10" s="23"/>
      <c r="W10" s="30" t="s">
        <v>75</v>
      </c>
      <c r="X10" s="30">
        <v>1</v>
      </c>
      <c r="Y10" s="30">
        <v>2</v>
      </c>
      <c r="Z10" s="30">
        <v>3</v>
      </c>
      <c r="AA10" s="30">
        <v>4</v>
      </c>
      <c r="AB10" s="30">
        <v>5</v>
      </c>
      <c r="AC10" s="30">
        <v>6</v>
      </c>
      <c r="AD10" s="30">
        <v>7</v>
      </c>
      <c r="AE10" s="30">
        <v>8</v>
      </c>
      <c r="AF10" s="30">
        <v>9</v>
      </c>
      <c r="AG10" s="30">
        <v>10</v>
      </c>
      <c r="AH10" s="30">
        <v>11</v>
      </c>
      <c r="AI10" s="30">
        <v>12</v>
      </c>
      <c r="AJ10" s="30">
        <v>13</v>
      </c>
      <c r="AK10" s="30">
        <v>14</v>
      </c>
      <c r="AL10" s="30">
        <v>15</v>
      </c>
      <c r="AM10" s="30">
        <v>16</v>
      </c>
      <c r="AN10" s="30">
        <v>17</v>
      </c>
      <c r="AO10" s="30">
        <v>18</v>
      </c>
      <c r="AP10" s="23"/>
    </row>
    <row r="11" spans="1:42">
      <c r="A11" s="23"/>
      <c r="B11" s="24" t="s">
        <v>65</v>
      </c>
      <c r="C11" s="24"/>
      <c r="D11" s="24"/>
      <c r="E11" s="24">
        <v>9</v>
      </c>
      <c r="F11" s="24"/>
      <c r="G11" s="24">
        <v>10</v>
      </c>
      <c r="H11" s="24"/>
      <c r="I11" s="24">
        <v>11</v>
      </c>
      <c r="J11" s="24"/>
      <c r="K11" s="24">
        <v>12</v>
      </c>
      <c r="L11" s="24"/>
      <c r="M11" s="24">
        <v>13</v>
      </c>
      <c r="N11" s="24"/>
      <c r="O11" s="24">
        <v>14</v>
      </c>
      <c r="P11" s="24"/>
      <c r="Q11" s="24">
        <v>15</v>
      </c>
      <c r="R11" s="24"/>
      <c r="S11" s="24">
        <v>16</v>
      </c>
      <c r="T11" s="24"/>
      <c r="U11" s="24"/>
      <c r="V11" s="23"/>
      <c r="W11" s="32" t="s">
        <v>76</v>
      </c>
      <c r="X11" s="30" t="s">
        <v>59</v>
      </c>
      <c r="Y11" s="32" t="str">
        <f>Y14</f>
        <v>E</v>
      </c>
      <c r="Z11" s="33" t="str">
        <f>Z15</f>
        <v>E</v>
      </c>
      <c r="AA11" s="32">
        <f>AA14</f>
        <v>2</v>
      </c>
      <c r="AB11" s="33">
        <f>AB15</f>
        <v>10</v>
      </c>
      <c r="AC11" s="32">
        <f>AC14</f>
        <v>3</v>
      </c>
      <c r="AD11" s="33">
        <f>AD15</f>
        <v>11</v>
      </c>
      <c r="AE11" s="32">
        <f>AE14</f>
        <v>4</v>
      </c>
      <c r="AF11" s="33">
        <f>AF15</f>
        <v>12</v>
      </c>
      <c r="AG11" s="32">
        <f>AG14</f>
        <v>5</v>
      </c>
      <c r="AH11" s="33">
        <f>AH15</f>
        <v>13</v>
      </c>
      <c r="AI11" s="32">
        <f>AI14</f>
        <v>6</v>
      </c>
      <c r="AJ11" s="33">
        <f>AJ15</f>
        <v>14</v>
      </c>
      <c r="AK11" s="32">
        <f>AK14</f>
        <v>7</v>
      </c>
      <c r="AL11" s="33">
        <f>AL15</f>
        <v>15</v>
      </c>
      <c r="AM11" s="32">
        <f>AM14</f>
        <v>8</v>
      </c>
      <c r="AN11" s="33">
        <f>AN15</f>
        <v>16</v>
      </c>
      <c r="AO11" s="30" t="s">
        <v>59</v>
      </c>
      <c r="AP11" s="23"/>
    </row>
    <row r="12" spans="1:42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3"/>
      <c r="W12" s="33" t="s">
        <v>77</v>
      </c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3"/>
    </row>
    <row r="13" spans="1:42">
      <c r="A13" s="23"/>
      <c r="B13" s="63" t="s">
        <v>60</v>
      </c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24"/>
      <c r="V13" s="23"/>
      <c r="W13" s="24"/>
      <c r="X13" s="24"/>
      <c r="Y13" s="24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4"/>
      <c r="AP13" s="23"/>
    </row>
    <row r="14" spans="1:42">
      <c r="A14" s="23"/>
      <c r="B14" s="24" t="s">
        <v>58</v>
      </c>
      <c r="C14" s="24">
        <v>1</v>
      </c>
      <c r="D14" s="24">
        <v>2</v>
      </c>
      <c r="E14" s="24">
        <v>3</v>
      </c>
      <c r="F14" s="24">
        <v>4</v>
      </c>
      <c r="G14" s="24">
        <v>5</v>
      </c>
      <c r="H14" s="24">
        <v>6</v>
      </c>
      <c r="I14" s="24">
        <v>7</v>
      </c>
      <c r="J14" s="24">
        <v>8</v>
      </c>
      <c r="K14" s="24">
        <v>9</v>
      </c>
      <c r="L14" s="24">
        <v>10</v>
      </c>
      <c r="M14" s="24">
        <v>11</v>
      </c>
      <c r="N14" s="24">
        <v>12</v>
      </c>
      <c r="O14" s="24">
        <v>13</v>
      </c>
      <c r="P14" s="24">
        <v>14</v>
      </c>
      <c r="Q14" s="24">
        <v>15</v>
      </c>
      <c r="R14" s="24">
        <v>16</v>
      </c>
      <c r="S14" s="24">
        <v>17</v>
      </c>
      <c r="T14" s="24">
        <v>18</v>
      </c>
      <c r="U14" s="24"/>
      <c r="V14" s="23"/>
      <c r="W14" s="25"/>
      <c r="X14" s="25"/>
      <c r="Y14" s="25" t="s">
        <v>27</v>
      </c>
      <c r="Z14" s="25"/>
      <c r="AA14" s="25">
        <v>2</v>
      </c>
      <c r="AB14" s="25"/>
      <c r="AC14" s="25">
        <v>3</v>
      </c>
      <c r="AD14" s="25"/>
      <c r="AE14" s="25">
        <v>4</v>
      </c>
      <c r="AF14" s="25"/>
      <c r="AG14" s="25">
        <v>5</v>
      </c>
      <c r="AH14" s="25"/>
      <c r="AI14" s="25">
        <v>6</v>
      </c>
      <c r="AJ14" s="25"/>
      <c r="AK14" s="25">
        <v>7</v>
      </c>
      <c r="AL14" s="25"/>
      <c r="AM14" s="25">
        <v>8</v>
      </c>
      <c r="AN14" s="25"/>
      <c r="AO14" s="25"/>
      <c r="AP14" s="23"/>
    </row>
    <row r="15" spans="1:42">
      <c r="A15" s="23"/>
      <c r="B15" s="24" t="s">
        <v>65</v>
      </c>
      <c r="C15" s="24" t="s">
        <v>59</v>
      </c>
      <c r="D15" s="24">
        <v>17</v>
      </c>
      <c r="E15" s="24"/>
      <c r="F15" s="24">
        <v>18</v>
      </c>
      <c r="G15" s="24"/>
      <c r="H15" s="24">
        <v>19</v>
      </c>
      <c r="I15" s="24"/>
      <c r="J15" s="24">
        <v>20</v>
      </c>
      <c r="K15" s="24"/>
      <c r="L15" s="24">
        <v>21</v>
      </c>
      <c r="M15" s="24"/>
      <c r="N15" s="24">
        <v>22</v>
      </c>
      <c r="O15" s="24"/>
      <c r="P15" s="24">
        <v>23</v>
      </c>
      <c r="Q15" s="24"/>
      <c r="R15" s="24">
        <v>24</v>
      </c>
      <c r="S15" s="24"/>
      <c r="T15" s="24" t="s">
        <v>59</v>
      </c>
      <c r="U15" s="24"/>
      <c r="V15" s="23"/>
      <c r="W15" s="24"/>
      <c r="X15" s="24"/>
      <c r="Y15" s="24"/>
      <c r="Z15" s="31" t="s">
        <v>27</v>
      </c>
      <c r="AA15" s="24"/>
      <c r="AB15" s="24">
        <v>10</v>
      </c>
      <c r="AC15" s="24"/>
      <c r="AD15" s="31">
        <v>11</v>
      </c>
      <c r="AE15" s="24"/>
      <c r="AF15" s="24">
        <v>12</v>
      </c>
      <c r="AG15" s="24"/>
      <c r="AH15" s="31">
        <v>13</v>
      </c>
      <c r="AI15" s="24"/>
      <c r="AJ15" s="24">
        <v>14</v>
      </c>
      <c r="AK15" s="24"/>
      <c r="AL15" s="31">
        <v>15</v>
      </c>
      <c r="AM15" s="24"/>
      <c r="AN15" s="24">
        <v>16</v>
      </c>
      <c r="AO15" s="24"/>
      <c r="AP15" s="23"/>
    </row>
    <row r="16" spans="1:42">
      <c r="A16" s="23"/>
      <c r="B16" s="24" t="s">
        <v>65</v>
      </c>
      <c r="C16" s="24"/>
      <c r="D16" s="24"/>
      <c r="E16" s="24">
        <v>25</v>
      </c>
      <c r="F16" s="24"/>
      <c r="G16" s="24">
        <v>26</v>
      </c>
      <c r="H16" s="24"/>
      <c r="I16" s="24">
        <v>27</v>
      </c>
      <c r="J16" s="24"/>
      <c r="K16" s="24">
        <v>28</v>
      </c>
      <c r="L16" s="24"/>
      <c r="M16" s="24">
        <v>29</v>
      </c>
      <c r="N16" s="24"/>
      <c r="O16" s="24">
        <v>30</v>
      </c>
      <c r="P16" s="24"/>
      <c r="Q16" s="24">
        <v>31</v>
      </c>
      <c r="R16" s="24"/>
      <c r="S16" s="24">
        <v>32</v>
      </c>
      <c r="T16" s="24"/>
      <c r="U16" s="24"/>
      <c r="V16" s="23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1:55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3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55">
      <c r="A18" s="23"/>
      <c r="B18" s="63" t="s">
        <v>61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24"/>
      <c r="V18" s="23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</row>
    <row r="19" spans="1:55">
      <c r="A19" s="23"/>
      <c r="B19" s="24" t="s">
        <v>58</v>
      </c>
      <c r="C19" s="24">
        <v>1</v>
      </c>
      <c r="D19" s="24">
        <v>2</v>
      </c>
      <c r="E19" s="24">
        <v>3</v>
      </c>
      <c r="F19" s="24">
        <v>4</v>
      </c>
      <c r="G19" s="24">
        <v>5</v>
      </c>
      <c r="H19" s="24">
        <v>6</v>
      </c>
      <c r="I19" s="24">
        <v>7</v>
      </c>
      <c r="J19" s="24">
        <v>8</v>
      </c>
      <c r="K19" s="24">
        <v>9</v>
      </c>
      <c r="L19" s="24">
        <v>10</v>
      </c>
      <c r="M19" s="24">
        <v>11</v>
      </c>
      <c r="N19" s="24">
        <v>12</v>
      </c>
      <c r="O19" s="24">
        <v>13</v>
      </c>
      <c r="P19" s="24">
        <v>14</v>
      </c>
      <c r="Q19" s="24">
        <v>15</v>
      </c>
      <c r="R19" s="24">
        <v>16</v>
      </c>
      <c r="S19" s="24">
        <v>17</v>
      </c>
      <c r="T19" s="24">
        <v>18</v>
      </c>
      <c r="U19" s="24"/>
      <c r="V19" s="23"/>
      <c r="W19" s="59" t="s">
        <v>90</v>
      </c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</row>
    <row r="20" spans="1:55">
      <c r="A20" s="23"/>
      <c r="B20" s="24" t="s">
        <v>65</v>
      </c>
      <c r="C20" s="24" t="s">
        <v>59</v>
      </c>
      <c r="D20" s="24">
        <v>33</v>
      </c>
      <c r="E20" s="24"/>
      <c r="F20" s="24">
        <v>34</v>
      </c>
      <c r="G20" s="24"/>
      <c r="H20" s="24">
        <v>35</v>
      </c>
      <c r="I20" s="24"/>
      <c r="J20" s="24">
        <v>36</v>
      </c>
      <c r="K20" s="24"/>
      <c r="L20" s="24">
        <v>37</v>
      </c>
      <c r="M20" s="24"/>
      <c r="N20" s="24">
        <v>38</v>
      </c>
      <c r="O20" s="24"/>
      <c r="P20" s="24">
        <v>39</v>
      </c>
      <c r="Q20" s="24"/>
      <c r="R20" s="24">
        <v>40</v>
      </c>
      <c r="S20" s="24"/>
      <c r="T20" s="24" t="s">
        <v>59</v>
      </c>
      <c r="U20" s="24"/>
      <c r="V20" s="23"/>
      <c r="W20" s="30" t="s">
        <v>75</v>
      </c>
      <c r="X20" s="30">
        <v>1</v>
      </c>
      <c r="Y20" s="30">
        <v>2</v>
      </c>
      <c r="Z20" s="30">
        <v>3</v>
      </c>
      <c r="AA20" s="30">
        <v>4</v>
      </c>
      <c r="AB20" s="30">
        <v>5</v>
      </c>
      <c r="AC20" s="30">
        <v>6</v>
      </c>
      <c r="AD20" s="30">
        <v>7</v>
      </c>
      <c r="AE20" s="30">
        <v>8</v>
      </c>
      <c r="AF20" s="30">
        <v>9</v>
      </c>
      <c r="AG20" s="30">
        <v>10</v>
      </c>
      <c r="AH20" s="30">
        <v>11</v>
      </c>
      <c r="AI20" s="30">
        <v>12</v>
      </c>
      <c r="AJ20" s="30">
        <v>13</v>
      </c>
      <c r="AK20" s="30">
        <v>14</v>
      </c>
      <c r="AL20" s="30">
        <v>15</v>
      </c>
      <c r="AM20" s="30">
        <v>16</v>
      </c>
      <c r="AN20" s="30">
        <v>17</v>
      </c>
      <c r="AO20" s="30">
        <v>18</v>
      </c>
      <c r="AP20" s="23"/>
    </row>
    <row r="21" spans="1:55">
      <c r="A21" s="23"/>
      <c r="B21" s="24" t="s">
        <v>65</v>
      </c>
      <c r="C21" s="24"/>
      <c r="D21" s="24"/>
      <c r="E21" s="24">
        <v>41</v>
      </c>
      <c r="F21" s="24"/>
      <c r="G21" s="24">
        <v>42</v>
      </c>
      <c r="H21" s="24"/>
      <c r="I21" s="24">
        <v>43</v>
      </c>
      <c r="J21" s="24"/>
      <c r="K21" s="24">
        <v>44</v>
      </c>
      <c r="L21" s="24"/>
      <c r="M21" s="24">
        <v>45</v>
      </c>
      <c r="N21" s="24"/>
      <c r="O21" s="24">
        <v>46</v>
      </c>
      <c r="P21" s="24"/>
      <c r="Q21" s="24">
        <v>47</v>
      </c>
      <c r="R21" s="24"/>
      <c r="S21" s="24">
        <v>48</v>
      </c>
      <c r="T21" s="24"/>
      <c r="U21" s="24"/>
      <c r="V21" s="23"/>
      <c r="W21" s="32" t="s">
        <v>79</v>
      </c>
      <c r="X21" s="30" t="s">
        <v>59</v>
      </c>
      <c r="Y21" s="32" t="str">
        <f>Y24</f>
        <v>E</v>
      </c>
      <c r="Z21" s="33">
        <f>Z25</f>
        <v>25</v>
      </c>
      <c r="AA21" s="32">
        <f>AA24</f>
        <v>18</v>
      </c>
      <c r="AB21" s="33">
        <f>AB25</f>
        <v>26</v>
      </c>
      <c r="AC21" s="32">
        <f>AC24</f>
        <v>19</v>
      </c>
      <c r="AD21" s="33">
        <f>AD25</f>
        <v>27</v>
      </c>
      <c r="AE21" s="32">
        <f>AE24</f>
        <v>20</v>
      </c>
      <c r="AF21" s="33">
        <f>AF25</f>
        <v>28</v>
      </c>
      <c r="AG21" s="32">
        <f>AG24</f>
        <v>21</v>
      </c>
      <c r="AH21" s="33">
        <f>AH25</f>
        <v>29</v>
      </c>
      <c r="AI21" s="32">
        <f>AI24</f>
        <v>22</v>
      </c>
      <c r="AJ21" s="33">
        <f>AJ25</f>
        <v>30</v>
      </c>
      <c r="AK21" s="32">
        <f>AK24</f>
        <v>23</v>
      </c>
      <c r="AL21" s="33">
        <f>AL25</f>
        <v>31</v>
      </c>
      <c r="AM21" s="32">
        <f>AM24</f>
        <v>24</v>
      </c>
      <c r="AN21" s="33">
        <f>AN25</f>
        <v>32</v>
      </c>
      <c r="AO21" s="30" t="s">
        <v>59</v>
      </c>
      <c r="AP21" s="23"/>
    </row>
    <row r="22" spans="1:5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3"/>
      <c r="W22" s="33" t="s">
        <v>80</v>
      </c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3"/>
    </row>
    <row r="23" spans="1:55">
      <c r="A23" s="23"/>
      <c r="B23" s="63" t="s">
        <v>62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24"/>
      <c r="V23" s="23"/>
      <c r="W23" s="24"/>
      <c r="X23" s="24"/>
      <c r="Y23" s="24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4"/>
      <c r="AP23" s="23"/>
    </row>
    <row r="24" spans="1:55">
      <c r="A24" s="23"/>
      <c r="B24" s="24" t="s">
        <v>58</v>
      </c>
      <c r="C24" s="24">
        <v>1</v>
      </c>
      <c r="D24" s="24">
        <v>2</v>
      </c>
      <c r="E24" s="24">
        <v>3</v>
      </c>
      <c r="F24" s="24">
        <v>4</v>
      </c>
      <c r="G24" s="24">
        <v>5</v>
      </c>
      <c r="H24" s="24">
        <v>6</v>
      </c>
      <c r="I24" s="24">
        <v>7</v>
      </c>
      <c r="J24" s="24">
        <v>8</v>
      </c>
      <c r="K24" s="24">
        <v>9</v>
      </c>
      <c r="L24" s="24">
        <v>10</v>
      </c>
      <c r="M24" s="24">
        <v>11</v>
      </c>
      <c r="N24" s="24">
        <v>12</v>
      </c>
      <c r="O24" s="24">
        <v>13</v>
      </c>
      <c r="P24" s="24">
        <v>14</v>
      </c>
      <c r="Q24" s="24">
        <v>15</v>
      </c>
      <c r="R24" s="24">
        <v>16</v>
      </c>
      <c r="S24" s="24">
        <v>17</v>
      </c>
      <c r="T24" s="24">
        <v>18</v>
      </c>
      <c r="U24" s="24"/>
      <c r="V24" s="23"/>
      <c r="W24" s="25"/>
      <c r="X24" s="25"/>
      <c r="Y24" s="25" t="s">
        <v>27</v>
      </c>
      <c r="Z24" s="25"/>
      <c r="AA24" s="25">
        <v>18</v>
      </c>
      <c r="AB24" s="25"/>
      <c r="AC24" s="25">
        <v>19</v>
      </c>
      <c r="AD24" s="25"/>
      <c r="AE24" s="25">
        <v>20</v>
      </c>
      <c r="AF24" s="25"/>
      <c r="AG24" s="25">
        <v>21</v>
      </c>
      <c r="AH24" s="25"/>
      <c r="AI24" s="25">
        <v>22</v>
      </c>
      <c r="AJ24" s="25"/>
      <c r="AK24" s="25">
        <v>23</v>
      </c>
      <c r="AL24" s="25"/>
      <c r="AM24" s="25">
        <v>24</v>
      </c>
      <c r="AN24" s="25"/>
      <c r="AO24" s="25"/>
      <c r="AP24" s="23"/>
    </row>
    <row r="25" spans="1:55">
      <c r="A25" s="23"/>
      <c r="B25" s="24" t="s">
        <v>65</v>
      </c>
      <c r="C25" s="24" t="s">
        <v>59</v>
      </c>
      <c r="D25" s="24">
        <v>49</v>
      </c>
      <c r="E25" s="24"/>
      <c r="F25" s="24">
        <v>50</v>
      </c>
      <c r="G25" s="24"/>
      <c r="H25" s="24">
        <v>51</v>
      </c>
      <c r="I25" s="24"/>
      <c r="J25" s="24">
        <v>52</v>
      </c>
      <c r="K25" s="24"/>
      <c r="L25" s="24">
        <v>53</v>
      </c>
      <c r="M25" s="24"/>
      <c r="N25" s="24">
        <v>54</v>
      </c>
      <c r="O25" s="24"/>
      <c r="P25" s="24">
        <v>55</v>
      </c>
      <c r="Q25" s="24"/>
      <c r="R25" s="24">
        <v>56</v>
      </c>
      <c r="S25" s="24"/>
      <c r="T25" s="24" t="s">
        <v>59</v>
      </c>
      <c r="U25" s="24"/>
      <c r="V25" s="23"/>
      <c r="W25" s="24"/>
      <c r="X25" s="24"/>
      <c r="Y25" s="24"/>
      <c r="Z25" s="31">
        <v>25</v>
      </c>
      <c r="AA25" s="24"/>
      <c r="AB25" s="24">
        <v>26</v>
      </c>
      <c r="AC25" s="24"/>
      <c r="AD25" s="31">
        <v>27</v>
      </c>
      <c r="AE25" s="24"/>
      <c r="AF25" s="24">
        <v>28</v>
      </c>
      <c r="AG25" s="24"/>
      <c r="AH25" s="31">
        <v>29</v>
      </c>
      <c r="AI25" s="24"/>
      <c r="AJ25" s="24">
        <v>30</v>
      </c>
      <c r="AK25" s="24"/>
      <c r="AL25" s="31">
        <v>31</v>
      </c>
      <c r="AM25" s="24"/>
      <c r="AN25" s="24">
        <v>32</v>
      </c>
      <c r="AO25" s="24"/>
      <c r="AP25" s="23"/>
    </row>
    <row r="26" spans="1:55">
      <c r="A26" s="23"/>
      <c r="B26" s="24" t="s">
        <v>65</v>
      </c>
      <c r="C26" s="24"/>
      <c r="D26" s="24"/>
      <c r="E26" s="24">
        <v>57</v>
      </c>
      <c r="F26" s="24"/>
      <c r="G26" s="24">
        <v>58</v>
      </c>
      <c r="H26" s="24"/>
      <c r="I26" s="24">
        <v>59</v>
      </c>
      <c r="J26" s="24"/>
      <c r="K26" s="24">
        <v>60</v>
      </c>
      <c r="L26" s="24"/>
      <c r="M26" s="24">
        <v>61</v>
      </c>
      <c r="N26" s="24"/>
      <c r="O26" s="24">
        <v>62</v>
      </c>
      <c r="P26" s="24"/>
      <c r="Q26" s="24">
        <v>63</v>
      </c>
      <c r="R26" s="24"/>
      <c r="S26" s="24">
        <v>64</v>
      </c>
      <c r="T26" s="24"/>
      <c r="U26" s="24"/>
      <c r="V26" s="23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3"/>
    </row>
    <row r="27" spans="1:5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3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3"/>
      <c r="W28" s="59" t="s">
        <v>91</v>
      </c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23"/>
      <c r="AQ28" s="23"/>
      <c r="AR28" s="56"/>
      <c r="AS28" s="57"/>
      <c r="AT28" s="57"/>
      <c r="AU28" s="57"/>
      <c r="AV28" s="57"/>
      <c r="AW28" s="57"/>
      <c r="AX28" s="57"/>
      <c r="AY28" s="57"/>
      <c r="AZ28" s="57"/>
      <c r="BA28" s="57"/>
      <c r="BB28" s="58"/>
      <c r="BC28" s="23"/>
    </row>
    <row r="29" spans="1:55" ht="30">
      <c r="A29" s="23"/>
      <c r="B29" s="63" t="s">
        <v>63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24"/>
      <c r="V29" s="23"/>
      <c r="W29" s="30" t="s">
        <v>75</v>
      </c>
      <c r="X29" s="30">
        <v>1</v>
      </c>
      <c r="Y29" s="30">
        <v>2</v>
      </c>
      <c r="Z29" s="30">
        <v>3</v>
      </c>
      <c r="AA29" s="30">
        <v>4</v>
      </c>
      <c r="AB29" s="30">
        <v>5</v>
      </c>
      <c r="AC29" s="30">
        <v>6</v>
      </c>
      <c r="AD29" s="30">
        <v>7</v>
      </c>
      <c r="AE29" s="30">
        <v>8</v>
      </c>
      <c r="AF29" s="30">
        <v>9</v>
      </c>
      <c r="AG29" s="30">
        <v>10</v>
      </c>
      <c r="AH29" s="30">
        <v>11</v>
      </c>
      <c r="AI29" s="30">
        <v>12</v>
      </c>
      <c r="AJ29" s="30">
        <v>13</v>
      </c>
      <c r="AK29" s="30">
        <v>14</v>
      </c>
      <c r="AL29" s="30">
        <v>15</v>
      </c>
      <c r="AM29" s="30">
        <v>16</v>
      </c>
      <c r="AN29" s="30">
        <v>17</v>
      </c>
      <c r="AO29" s="30">
        <v>18</v>
      </c>
      <c r="AP29" s="23"/>
      <c r="AQ29" s="23"/>
      <c r="AR29" s="42" t="s">
        <v>75</v>
      </c>
      <c r="AS29" s="30">
        <v>1</v>
      </c>
      <c r="AT29" s="30">
        <v>2</v>
      </c>
      <c r="AU29" s="30">
        <v>3</v>
      </c>
      <c r="AV29" s="30">
        <v>4</v>
      </c>
      <c r="AW29" s="30">
        <v>5</v>
      </c>
      <c r="AX29" s="30">
        <v>6</v>
      </c>
      <c r="AY29" s="30">
        <v>7</v>
      </c>
      <c r="AZ29" s="30">
        <v>8</v>
      </c>
      <c r="BA29" s="30">
        <v>9</v>
      </c>
      <c r="BB29" s="30">
        <v>10</v>
      </c>
      <c r="BC29" s="23"/>
    </row>
    <row r="30" spans="1:55" ht="30">
      <c r="A30" s="23"/>
      <c r="B30" s="24" t="s">
        <v>58</v>
      </c>
      <c r="C30" s="24">
        <v>1</v>
      </c>
      <c r="D30" s="24">
        <v>2</v>
      </c>
      <c r="E30" s="24">
        <v>3</v>
      </c>
      <c r="F30" s="24">
        <v>4</v>
      </c>
      <c r="G30" s="24">
        <v>5</v>
      </c>
      <c r="H30" s="24">
        <v>6</v>
      </c>
      <c r="I30" s="24">
        <v>7</v>
      </c>
      <c r="J30" s="24">
        <v>8</v>
      </c>
      <c r="K30" s="24">
        <v>9</v>
      </c>
      <c r="L30" s="24">
        <v>10</v>
      </c>
      <c r="M30" s="24">
        <v>11</v>
      </c>
      <c r="N30" s="24">
        <v>12</v>
      </c>
      <c r="O30" s="24">
        <v>13</v>
      </c>
      <c r="P30" s="24">
        <v>14</v>
      </c>
      <c r="Q30" s="24">
        <v>15</v>
      </c>
      <c r="R30" s="24">
        <v>16</v>
      </c>
      <c r="S30" s="24">
        <v>17</v>
      </c>
      <c r="T30" s="24">
        <v>18</v>
      </c>
      <c r="U30" s="24"/>
      <c r="V30" s="23"/>
      <c r="W30" s="32" t="s">
        <v>81</v>
      </c>
      <c r="X30" s="30" t="s">
        <v>59</v>
      </c>
      <c r="Y30" s="32">
        <f>Y33</f>
        <v>33</v>
      </c>
      <c r="Z30" s="33">
        <f>Z34</f>
        <v>41</v>
      </c>
      <c r="AA30" s="32">
        <f>AA33</f>
        <v>34</v>
      </c>
      <c r="AB30" s="33">
        <f>AB34</f>
        <v>42</v>
      </c>
      <c r="AC30" s="32">
        <f>AC33</f>
        <v>35</v>
      </c>
      <c r="AD30" s="33">
        <f>AD34</f>
        <v>43</v>
      </c>
      <c r="AE30" s="32">
        <f>AE33</f>
        <v>36</v>
      </c>
      <c r="AF30" s="33">
        <f>AF34</f>
        <v>44</v>
      </c>
      <c r="AG30" s="32">
        <f>AG33</f>
        <v>37</v>
      </c>
      <c r="AH30" s="33">
        <f>AH34</f>
        <v>45</v>
      </c>
      <c r="AI30" s="32">
        <f>AI33</f>
        <v>38</v>
      </c>
      <c r="AJ30" s="33">
        <f>AJ34</f>
        <v>46</v>
      </c>
      <c r="AK30" s="32">
        <f>AK33</f>
        <v>39</v>
      </c>
      <c r="AL30" s="33">
        <f>AL34</f>
        <v>47</v>
      </c>
      <c r="AM30" s="32">
        <f>AM33</f>
        <v>40</v>
      </c>
      <c r="AN30" s="33">
        <f>AN34</f>
        <v>48</v>
      </c>
      <c r="AO30" s="30" t="s">
        <v>59</v>
      </c>
      <c r="AP30" s="23"/>
      <c r="AQ30" s="23"/>
      <c r="AR30" s="42" t="s">
        <v>95</v>
      </c>
      <c r="AS30" s="30" t="s">
        <v>59</v>
      </c>
      <c r="AT30" s="30">
        <v>16</v>
      </c>
      <c r="AU30" s="30">
        <v>17</v>
      </c>
      <c r="AV30" s="30">
        <v>18</v>
      </c>
      <c r="AW30" s="30">
        <v>19</v>
      </c>
      <c r="AX30" s="30">
        <v>20</v>
      </c>
      <c r="AY30" s="30">
        <v>21</v>
      </c>
      <c r="AZ30" s="30">
        <v>22</v>
      </c>
      <c r="BA30" s="30">
        <v>23</v>
      </c>
      <c r="BB30" s="30">
        <v>24</v>
      </c>
      <c r="BC30" s="23"/>
    </row>
    <row r="31" spans="1:55">
      <c r="A31" s="23"/>
      <c r="B31" s="24" t="s">
        <v>65</v>
      </c>
      <c r="C31" s="24" t="s">
        <v>59</v>
      </c>
      <c r="D31" s="24">
        <v>65</v>
      </c>
      <c r="E31" s="24"/>
      <c r="F31" s="24">
        <v>66</v>
      </c>
      <c r="G31" s="24"/>
      <c r="H31" s="24">
        <v>67</v>
      </c>
      <c r="I31" s="24"/>
      <c r="J31" s="24">
        <v>68</v>
      </c>
      <c r="K31" s="24"/>
      <c r="L31" s="24">
        <v>69</v>
      </c>
      <c r="M31" s="24"/>
      <c r="N31" s="24">
        <v>70</v>
      </c>
      <c r="O31" s="24"/>
      <c r="P31" s="24">
        <v>71</v>
      </c>
      <c r="Q31" s="24"/>
      <c r="R31" s="24">
        <v>72</v>
      </c>
      <c r="S31" s="24"/>
      <c r="T31" s="24" t="s">
        <v>59</v>
      </c>
      <c r="U31" s="24"/>
      <c r="V31" s="23"/>
      <c r="W31" s="33" t="s">
        <v>82</v>
      </c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>
      <c r="A32" s="23"/>
      <c r="B32" s="24" t="s">
        <v>65</v>
      </c>
      <c r="C32" s="24"/>
      <c r="D32" s="24"/>
      <c r="E32" s="24">
        <v>73</v>
      </c>
      <c r="F32" s="24"/>
      <c r="G32" s="24">
        <v>74</v>
      </c>
      <c r="H32" s="24"/>
      <c r="I32" s="24">
        <v>75</v>
      </c>
      <c r="J32" s="24"/>
      <c r="K32" s="24">
        <v>76</v>
      </c>
      <c r="L32" s="24"/>
      <c r="M32" s="24">
        <v>77</v>
      </c>
      <c r="N32" s="24"/>
      <c r="O32" s="24">
        <v>78</v>
      </c>
      <c r="P32" s="24"/>
      <c r="Q32" s="24">
        <v>79</v>
      </c>
      <c r="R32" s="24"/>
      <c r="S32" s="24">
        <v>80</v>
      </c>
      <c r="T32" s="24"/>
      <c r="U32" s="24"/>
      <c r="V32" s="23"/>
      <c r="W32" s="24"/>
      <c r="X32" s="24"/>
      <c r="Y32" s="24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4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5"/>
      <c r="X33" s="25"/>
      <c r="Y33" s="25">
        <v>33</v>
      </c>
      <c r="Z33" s="25"/>
      <c r="AA33" s="25">
        <v>34</v>
      </c>
      <c r="AB33" s="25"/>
      <c r="AC33" s="25">
        <v>35</v>
      </c>
      <c r="AD33" s="25"/>
      <c r="AE33" s="25">
        <v>36</v>
      </c>
      <c r="AF33" s="25"/>
      <c r="AG33" s="25">
        <v>37</v>
      </c>
      <c r="AH33" s="25"/>
      <c r="AI33" s="25">
        <v>38</v>
      </c>
      <c r="AJ33" s="25"/>
      <c r="AK33" s="25">
        <v>39</v>
      </c>
      <c r="AL33" s="25"/>
      <c r="AM33" s="25">
        <v>40</v>
      </c>
      <c r="AN33" s="25"/>
      <c r="AO33" s="25"/>
      <c r="AP33" s="23"/>
      <c r="AQ33" s="23"/>
      <c r="AR33" s="59"/>
      <c r="AS33" s="59"/>
      <c r="AT33" s="59"/>
      <c r="AU33" s="59"/>
      <c r="AV33" s="59"/>
      <c r="AW33" s="59"/>
      <c r="AX33" s="59"/>
      <c r="AY33" s="59"/>
      <c r="AZ33" s="59"/>
      <c r="BA33" s="23"/>
      <c r="BB33" s="23"/>
      <c r="BC33" s="23"/>
    </row>
    <row r="34" spans="1:55" ht="30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3"/>
      <c r="W34" s="24"/>
      <c r="X34" s="24"/>
      <c r="Y34" s="24"/>
      <c r="Z34" s="31">
        <v>41</v>
      </c>
      <c r="AA34" s="24"/>
      <c r="AB34" s="24">
        <v>42</v>
      </c>
      <c r="AC34" s="24"/>
      <c r="AD34" s="31">
        <v>43</v>
      </c>
      <c r="AE34" s="24"/>
      <c r="AF34" s="24">
        <v>44</v>
      </c>
      <c r="AG34" s="24"/>
      <c r="AH34" s="31">
        <v>45</v>
      </c>
      <c r="AI34" s="24"/>
      <c r="AJ34" s="24">
        <v>46</v>
      </c>
      <c r="AK34" s="24"/>
      <c r="AL34" s="31">
        <v>47</v>
      </c>
      <c r="AM34" s="24"/>
      <c r="AN34" s="24">
        <v>48</v>
      </c>
      <c r="AO34" s="24"/>
      <c r="AP34" s="23"/>
      <c r="AQ34" s="23"/>
      <c r="AR34" s="42" t="s">
        <v>75</v>
      </c>
      <c r="AS34" s="30">
        <v>1</v>
      </c>
      <c r="AT34" s="30">
        <v>2</v>
      </c>
      <c r="AU34" s="30">
        <v>3</v>
      </c>
      <c r="AV34" s="30">
        <v>4</v>
      </c>
      <c r="AW34" s="30">
        <v>5</v>
      </c>
      <c r="AX34" s="30">
        <v>6</v>
      </c>
      <c r="AY34" s="30">
        <v>7</v>
      </c>
      <c r="AZ34" s="30">
        <v>8</v>
      </c>
      <c r="BA34" s="23"/>
      <c r="BB34" s="23"/>
      <c r="BC34" s="23"/>
    </row>
    <row r="35" spans="1:55" ht="30">
      <c r="V35" s="23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3"/>
      <c r="AQ35" s="23"/>
      <c r="AR35" s="42" t="s">
        <v>95</v>
      </c>
      <c r="AS35" s="30" t="s">
        <v>59</v>
      </c>
      <c r="AT35" s="30">
        <v>30</v>
      </c>
      <c r="AU35" s="30">
        <v>31</v>
      </c>
      <c r="AV35" s="30">
        <v>32</v>
      </c>
      <c r="AW35" s="30">
        <v>33</v>
      </c>
      <c r="AX35" s="30">
        <v>34</v>
      </c>
      <c r="AY35" s="30">
        <v>35</v>
      </c>
      <c r="AZ35" s="30">
        <v>36</v>
      </c>
      <c r="BA35" s="23"/>
      <c r="BB35" s="23"/>
      <c r="BC35" s="23"/>
    </row>
    <row r="36" spans="1:55">
      <c r="V36" s="23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3"/>
      <c r="AQ36" s="23"/>
      <c r="AR36" s="41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>
      <c r="V37" s="23"/>
      <c r="W37" s="59" t="s">
        <v>92</v>
      </c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>
      <c r="V38" s="23"/>
      <c r="W38" s="30" t="s">
        <v>75</v>
      </c>
      <c r="X38" s="30">
        <v>1</v>
      </c>
      <c r="Y38" s="30">
        <v>2</v>
      </c>
      <c r="Z38" s="30">
        <v>3</v>
      </c>
      <c r="AA38" s="30">
        <v>4</v>
      </c>
      <c r="AB38" s="30">
        <v>5</v>
      </c>
      <c r="AC38" s="30">
        <v>6</v>
      </c>
      <c r="AD38" s="30">
        <v>7</v>
      </c>
      <c r="AE38" s="30">
        <v>8</v>
      </c>
      <c r="AF38" s="30">
        <v>9</v>
      </c>
      <c r="AG38" s="30">
        <v>10</v>
      </c>
      <c r="AH38" s="30">
        <v>11</v>
      </c>
      <c r="AI38" s="30">
        <v>12</v>
      </c>
      <c r="AJ38" s="30">
        <v>13</v>
      </c>
      <c r="AK38" s="30">
        <v>14</v>
      </c>
      <c r="AL38" s="30">
        <v>15</v>
      </c>
      <c r="AM38" s="30">
        <v>16</v>
      </c>
      <c r="AN38" s="30">
        <v>17</v>
      </c>
      <c r="AO38" s="30">
        <v>18</v>
      </c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>
      <c r="V39" s="23"/>
      <c r="W39" s="32" t="s">
        <v>83</v>
      </c>
      <c r="X39" s="30" t="s">
        <v>59</v>
      </c>
      <c r="Y39" s="32">
        <f>Y42</f>
        <v>49</v>
      </c>
      <c r="Z39" s="33">
        <f>Z43</f>
        <v>57</v>
      </c>
      <c r="AA39" s="32">
        <f>AA42</f>
        <v>50</v>
      </c>
      <c r="AB39" s="33">
        <f>AB43</f>
        <v>58</v>
      </c>
      <c r="AC39" s="32">
        <f>AC42</f>
        <v>51</v>
      </c>
      <c r="AD39" s="33">
        <f>AD43</f>
        <v>59</v>
      </c>
      <c r="AE39" s="32">
        <f>AE42</f>
        <v>52</v>
      </c>
      <c r="AF39" s="33">
        <f>AF43</f>
        <v>60</v>
      </c>
      <c r="AG39" s="32">
        <f>AG42</f>
        <v>53</v>
      </c>
      <c r="AH39" s="33">
        <f>AH43</f>
        <v>61</v>
      </c>
      <c r="AI39" s="32">
        <f>AI42</f>
        <v>54</v>
      </c>
      <c r="AJ39" s="33">
        <f>AJ43</f>
        <v>62</v>
      </c>
      <c r="AK39" s="32">
        <f>AK42</f>
        <v>55</v>
      </c>
      <c r="AL39" s="33">
        <f>AL43</f>
        <v>63</v>
      </c>
      <c r="AM39" s="32">
        <f>AM42</f>
        <v>56</v>
      </c>
      <c r="AN39" s="33">
        <f>AN43</f>
        <v>64</v>
      </c>
      <c r="AO39" s="30" t="s">
        <v>59</v>
      </c>
      <c r="AP39" s="23"/>
      <c r="AQ39" s="23"/>
      <c r="AR39" s="56" t="s">
        <v>96</v>
      </c>
      <c r="AS39" s="57"/>
      <c r="AT39" s="57"/>
      <c r="AU39" s="57"/>
      <c r="AV39" s="57"/>
      <c r="AW39" s="57"/>
      <c r="AX39" s="57"/>
      <c r="AY39" s="57"/>
      <c r="AZ39" s="57"/>
      <c r="BA39" s="57"/>
      <c r="BB39" s="58"/>
      <c r="BC39" s="23"/>
    </row>
    <row r="40" spans="1:55" ht="30">
      <c r="V40" s="23"/>
      <c r="W40" s="33" t="s">
        <v>84</v>
      </c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3"/>
      <c r="AQ40" s="23"/>
      <c r="AR40" s="42" t="s">
        <v>75</v>
      </c>
      <c r="AS40" s="30">
        <v>1</v>
      </c>
      <c r="AT40" s="30">
        <v>2</v>
      </c>
      <c r="AU40" s="30">
        <v>3</v>
      </c>
      <c r="AV40" s="30">
        <v>4</v>
      </c>
      <c r="AW40" s="30">
        <v>5</v>
      </c>
      <c r="AX40" s="30">
        <v>6</v>
      </c>
      <c r="AY40" s="30">
        <v>7</v>
      </c>
      <c r="AZ40" s="30">
        <v>8</v>
      </c>
      <c r="BA40" s="30">
        <v>9</v>
      </c>
      <c r="BB40" s="30">
        <v>10</v>
      </c>
      <c r="BC40" s="23"/>
    </row>
    <row r="41" spans="1:55" ht="30">
      <c r="V41" s="23"/>
      <c r="W41" s="24"/>
      <c r="X41" s="24"/>
      <c r="Y41" s="24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4"/>
      <c r="AP41" s="23"/>
      <c r="AQ41" s="23"/>
      <c r="AR41" s="42" t="s">
        <v>95</v>
      </c>
      <c r="AS41" s="30">
        <v>57</v>
      </c>
      <c r="AT41" s="30">
        <v>58</v>
      </c>
      <c r="AU41" s="30">
        <v>59</v>
      </c>
      <c r="AV41" s="30">
        <v>60</v>
      </c>
      <c r="AW41" s="30">
        <v>61</v>
      </c>
      <c r="AX41" s="30">
        <v>62</v>
      </c>
      <c r="AY41" s="30">
        <v>63</v>
      </c>
      <c r="AZ41" s="30">
        <v>64</v>
      </c>
      <c r="BA41" s="30">
        <v>65</v>
      </c>
      <c r="BB41" s="30">
        <v>66</v>
      </c>
      <c r="BC41" s="23"/>
    </row>
    <row r="42" spans="1:55">
      <c r="V42" s="23"/>
      <c r="W42" s="25"/>
      <c r="X42" s="25"/>
      <c r="Y42" s="25">
        <v>49</v>
      </c>
      <c r="Z42" s="25"/>
      <c r="AA42" s="25">
        <v>50</v>
      </c>
      <c r="AB42" s="25"/>
      <c r="AC42" s="25">
        <v>51</v>
      </c>
      <c r="AD42" s="25"/>
      <c r="AE42" s="25">
        <v>52</v>
      </c>
      <c r="AF42" s="25"/>
      <c r="AG42" s="25">
        <v>53</v>
      </c>
      <c r="AH42" s="25"/>
      <c r="AI42" s="25">
        <v>54</v>
      </c>
      <c r="AJ42" s="25"/>
      <c r="AK42" s="25">
        <v>55</v>
      </c>
      <c r="AL42" s="25"/>
      <c r="AM42" s="25">
        <v>56</v>
      </c>
      <c r="AN42" s="25"/>
      <c r="AO42" s="25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>
      <c r="V43" s="23"/>
      <c r="W43" s="24"/>
      <c r="X43" s="24"/>
      <c r="Y43" s="24"/>
      <c r="Z43" s="31">
        <v>57</v>
      </c>
      <c r="AA43" s="24"/>
      <c r="AB43" s="24">
        <v>58</v>
      </c>
      <c r="AC43" s="24"/>
      <c r="AD43" s="31">
        <v>59</v>
      </c>
      <c r="AE43" s="24"/>
      <c r="AF43" s="24">
        <v>60</v>
      </c>
      <c r="AG43" s="24"/>
      <c r="AH43" s="31">
        <v>61</v>
      </c>
      <c r="AI43" s="24"/>
      <c r="AJ43" s="24">
        <v>62</v>
      </c>
      <c r="AK43" s="24"/>
      <c r="AL43" s="31">
        <v>63</v>
      </c>
      <c r="AM43" s="24"/>
      <c r="AN43" s="24">
        <v>64</v>
      </c>
      <c r="AO43" s="24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>
      <c r="V44" s="23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>
      <c r="V45" s="23"/>
      <c r="W45" s="59" t="s">
        <v>93</v>
      </c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23"/>
      <c r="AQ45" s="23"/>
      <c r="AR45" s="56" t="s">
        <v>97</v>
      </c>
      <c r="AS45" s="57"/>
      <c r="AT45" s="57"/>
      <c r="AU45" s="57"/>
      <c r="AV45" s="57"/>
      <c r="AW45" s="57"/>
      <c r="AX45" s="57"/>
      <c r="AY45" s="57"/>
      <c r="AZ45" s="57"/>
      <c r="BA45" s="57"/>
      <c r="BB45" s="58"/>
      <c r="BC45" s="23"/>
    </row>
    <row r="46" spans="1:55" ht="30">
      <c r="V46" s="23"/>
      <c r="W46" s="30" t="s">
        <v>75</v>
      </c>
      <c r="X46" s="30">
        <v>1</v>
      </c>
      <c r="Y46" s="30">
        <v>2</v>
      </c>
      <c r="Z46" s="30">
        <v>3</v>
      </c>
      <c r="AA46" s="30">
        <v>4</v>
      </c>
      <c r="AB46" s="30">
        <v>5</v>
      </c>
      <c r="AC46" s="30">
        <v>6</v>
      </c>
      <c r="AD46" s="30">
        <v>7</v>
      </c>
      <c r="AE46" s="30">
        <v>8</v>
      </c>
      <c r="AF46" s="30">
        <v>9</v>
      </c>
      <c r="AG46" s="30">
        <v>10</v>
      </c>
      <c r="AH46" s="30">
        <v>11</v>
      </c>
      <c r="AI46" s="30">
        <v>12</v>
      </c>
      <c r="AJ46" s="30">
        <v>13</v>
      </c>
      <c r="AK46" s="30">
        <v>14</v>
      </c>
      <c r="AL46" s="30">
        <v>15</v>
      </c>
      <c r="AM46" s="30">
        <v>16</v>
      </c>
      <c r="AN46" s="30">
        <v>17</v>
      </c>
      <c r="AO46" s="30">
        <v>18</v>
      </c>
      <c r="AP46" s="23"/>
      <c r="AQ46" s="23"/>
      <c r="AR46" s="42" t="s">
        <v>75</v>
      </c>
      <c r="AS46" s="30">
        <v>1</v>
      </c>
      <c r="AT46" s="30">
        <v>2</v>
      </c>
      <c r="AU46" s="30">
        <v>3</v>
      </c>
      <c r="AV46" s="30">
        <v>4</v>
      </c>
      <c r="AW46" s="30">
        <v>5</v>
      </c>
      <c r="AX46" s="30">
        <v>6</v>
      </c>
      <c r="AY46" s="30">
        <v>7</v>
      </c>
      <c r="AZ46" s="30">
        <v>8</v>
      </c>
      <c r="BA46" s="30">
        <v>9</v>
      </c>
      <c r="BB46" s="30">
        <v>10</v>
      </c>
      <c r="BC46" s="23"/>
    </row>
    <row r="47" spans="1:55" ht="30">
      <c r="V47" s="23"/>
      <c r="W47" s="32" t="s">
        <v>85</v>
      </c>
      <c r="X47" s="30" t="s">
        <v>59</v>
      </c>
      <c r="Y47" s="32">
        <f>Y50</f>
        <v>65</v>
      </c>
      <c r="Z47" s="33">
        <f>Z51</f>
        <v>73</v>
      </c>
      <c r="AA47" s="32">
        <f>AA50</f>
        <v>66</v>
      </c>
      <c r="AB47" s="33">
        <f>AB51</f>
        <v>74</v>
      </c>
      <c r="AC47" s="32">
        <f>AC50</f>
        <v>67</v>
      </c>
      <c r="AD47" s="33">
        <f>AD51</f>
        <v>75</v>
      </c>
      <c r="AE47" s="32">
        <f>AE50</f>
        <v>68</v>
      </c>
      <c r="AF47" s="33">
        <f>AF51</f>
        <v>76</v>
      </c>
      <c r="AG47" s="32">
        <f>AG50</f>
        <v>69</v>
      </c>
      <c r="AH47" s="33">
        <f>AH51</f>
        <v>77</v>
      </c>
      <c r="AI47" s="32">
        <f>AI50</f>
        <v>70</v>
      </c>
      <c r="AJ47" s="33">
        <f>AJ51</f>
        <v>78</v>
      </c>
      <c r="AK47" s="32">
        <f>AK50</f>
        <v>71</v>
      </c>
      <c r="AL47" s="33">
        <f>AL51</f>
        <v>79</v>
      </c>
      <c r="AM47" s="32">
        <f>AM50</f>
        <v>72</v>
      </c>
      <c r="AN47" s="33">
        <f>AN51</f>
        <v>80</v>
      </c>
      <c r="AO47" s="30" t="s">
        <v>59</v>
      </c>
      <c r="AP47" s="23"/>
      <c r="AQ47" s="23"/>
      <c r="AR47" s="42" t="s">
        <v>95</v>
      </c>
      <c r="AS47" s="30">
        <v>67</v>
      </c>
      <c r="AT47" s="30">
        <v>68</v>
      </c>
      <c r="AU47" s="30">
        <v>69</v>
      </c>
      <c r="AV47" s="30">
        <v>70</v>
      </c>
      <c r="AW47" s="30">
        <v>71</v>
      </c>
      <c r="AX47" s="30">
        <v>72</v>
      </c>
      <c r="AY47" s="30">
        <v>73</v>
      </c>
      <c r="AZ47" s="30">
        <v>74</v>
      </c>
      <c r="BA47" s="30">
        <v>75</v>
      </c>
      <c r="BB47" s="30">
        <v>76</v>
      </c>
      <c r="BC47" s="23"/>
    </row>
    <row r="48" spans="1:55">
      <c r="V48" s="23"/>
      <c r="W48" s="33" t="s">
        <v>86</v>
      </c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22:55">
      <c r="V49" s="23"/>
      <c r="W49" s="24"/>
      <c r="X49" s="24"/>
      <c r="Y49" s="24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4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22:55">
      <c r="V50" s="23"/>
      <c r="W50" s="25"/>
      <c r="X50" s="25"/>
      <c r="Y50" s="25">
        <v>65</v>
      </c>
      <c r="Z50" s="25"/>
      <c r="AA50" s="25">
        <v>66</v>
      </c>
      <c r="AB50" s="25"/>
      <c r="AC50" s="25">
        <v>67</v>
      </c>
      <c r="AD50" s="25"/>
      <c r="AE50" s="25">
        <v>68</v>
      </c>
      <c r="AF50" s="25"/>
      <c r="AG50" s="25">
        <v>69</v>
      </c>
      <c r="AH50" s="25"/>
      <c r="AI50" s="25">
        <v>70</v>
      </c>
      <c r="AJ50" s="25"/>
      <c r="AK50" s="25">
        <v>71</v>
      </c>
      <c r="AL50" s="25"/>
      <c r="AM50" s="25">
        <v>72</v>
      </c>
      <c r="AN50" s="25"/>
      <c r="AO50" s="25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22:55">
      <c r="V51" s="23"/>
      <c r="W51" s="24"/>
      <c r="X51" s="24"/>
      <c r="Y51" s="24"/>
      <c r="Z51" s="31">
        <v>73</v>
      </c>
      <c r="AA51" s="24"/>
      <c r="AB51" s="24">
        <v>74</v>
      </c>
      <c r="AC51" s="24"/>
      <c r="AD51" s="31">
        <v>75</v>
      </c>
      <c r="AE51" s="24"/>
      <c r="AF51" s="24">
        <v>76</v>
      </c>
      <c r="AG51" s="24"/>
      <c r="AH51" s="31">
        <v>77</v>
      </c>
      <c r="AI51" s="24"/>
      <c r="AJ51" s="24">
        <v>78</v>
      </c>
      <c r="AK51" s="24"/>
      <c r="AL51" s="31">
        <v>79</v>
      </c>
      <c r="AM51" s="24"/>
      <c r="AN51" s="24">
        <v>80</v>
      </c>
      <c r="AO51" s="24"/>
      <c r="AP51" s="23"/>
      <c r="AQ51" s="23"/>
      <c r="AR51" s="56" t="s">
        <v>98</v>
      </c>
      <c r="AS51" s="57"/>
      <c r="AT51" s="57"/>
      <c r="AU51" s="57"/>
      <c r="AV51" s="57"/>
      <c r="AW51" s="57"/>
      <c r="AX51" s="57"/>
      <c r="AY51" s="57"/>
      <c r="AZ51" s="57"/>
      <c r="BA51" s="57"/>
      <c r="BB51" s="58"/>
      <c r="BC51" s="23"/>
    </row>
    <row r="52" spans="22:55" ht="30">
      <c r="V52" s="23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3"/>
      <c r="AQ52" s="23"/>
      <c r="AR52" s="42" t="s">
        <v>75</v>
      </c>
      <c r="AS52" s="30">
        <v>1</v>
      </c>
      <c r="AT52" s="30">
        <v>2</v>
      </c>
      <c r="AU52" s="30">
        <v>3</v>
      </c>
      <c r="AV52" s="30">
        <v>4</v>
      </c>
      <c r="AW52" s="30">
        <v>5</v>
      </c>
      <c r="AX52" s="30">
        <v>6</v>
      </c>
      <c r="AY52" s="30">
        <v>7</v>
      </c>
      <c r="AZ52" s="30">
        <v>8</v>
      </c>
      <c r="BA52" s="30">
        <v>9</v>
      </c>
      <c r="BB52" s="30">
        <v>10</v>
      </c>
      <c r="BC52" s="23"/>
    </row>
    <row r="53" spans="22:55" ht="30"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3"/>
      <c r="AR53" s="42" t="s">
        <v>95</v>
      </c>
      <c r="AS53" s="30">
        <v>77</v>
      </c>
      <c r="AT53" s="30">
        <v>78</v>
      </c>
      <c r="AU53" s="30">
        <v>79</v>
      </c>
      <c r="AV53" s="30">
        <v>80</v>
      </c>
      <c r="AW53" s="30">
        <v>81</v>
      </c>
      <c r="AX53" s="30"/>
      <c r="AY53" s="30"/>
      <c r="AZ53" s="30"/>
      <c r="BA53" s="30"/>
      <c r="BB53" s="30"/>
      <c r="BC53" s="23"/>
    </row>
    <row r="54" spans="22:55">
      <c r="V54" s="23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22:55">
      <c r="V55" s="23"/>
      <c r="W55" s="59" t="s">
        <v>94</v>
      </c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22:55">
      <c r="V56" s="23"/>
      <c r="W56" s="30" t="s">
        <v>75</v>
      </c>
      <c r="X56" s="30">
        <v>1</v>
      </c>
      <c r="Y56" s="30">
        <v>2</v>
      </c>
      <c r="Z56" s="30">
        <v>3</v>
      </c>
      <c r="AA56" s="30">
        <v>4</v>
      </c>
      <c r="AB56" s="30">
        <v>5</v>
      </c>
      <c r="AC56" s="30">
        <v>6</v>
      </c>
      <c r="AD56" s="30">
        <v>7</v>
      </c>
      <c r="AE56" s="30">
        <v>8</v>
      </c>
      <c r="AF56" s="30">
        <v>9</v>
      </c>
      <c r="AG56" s="30">
        <v>10</v>
      </c>
      <c r="AH56" s="30">
        <v>11</v>
      </c>
      <c r="AI56" s="30">
        <v>12</v>
      </c>
      <c r="AJ56" s="30">
        <v>13</v>
      </c>
      <c r="AK56" s="30">
        <v>14</v>
      </c>
      <c r="AL56" s="30">
        <v>15</v>
      </c>
      <c r="AM56" s="30">
        <v>16</v>
      </c>
      <c r="AN56" s="30">
        <v>17</v>
      </c>
      <c r="AO56" s="30">
        <v>18</v>
      </c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22:55" ht="36">
      <c r="V57" s="23"/>
      <c r="W57" s="32" t="s">
        <v>88</v>
      </c>
      <c r="X57" s="30" t="s">
        <v>59</v>
      </c>
      <c r="Y57" s="40" t="str">
        <f>Y60</f>
        <v>81 (input)</v>
      </c>
      <c r="Z57" s="33" t="str">
        <f>Z61</f>
        <v>E</v>
      </c>
      <c r="AA57" s="32" t="str">
        <f>AA60</f>
        <v>E</v>
      </c>
      <c r="AB57" s="33" t="str">
        <f>AB61</f>
        <v>E</v>
      </c>
      <c r="AC57" s="32" t="str">
        <f>AC60</f>
        <v>E</v>
      </c>
      <c r="AD57" s="33" t="str">
        <f>AD61</f>
        <v>E</v>
      </c>
      <c r="AE57" s="32" t="str">
        <f>AE60</f>
        <v>E</v>
      </c>
      <c r="AF57" s="33" t="str">
        <f>AF61</f>
        <v>E</v>
      </c>
      <c r="AG57" s="32" t="str">
        <f>AG60</f>
        <v>E</v>
      </c>
      <c r="AH57" s="33" t="str">
        <f>AH61</f>
        <v>E</v>
      </c>
      <c r="AI57" s="32" t="str">
        <f>AI60</f>
        <v>E</v>
      </c>
      <c r="AJ57" s="33" t="str">
        <f>AJ61</f>
        <v>E</v>
      </c>
      <c r="AK57" s="32" t="str">
        <f>AK60</f>
        <v>E</v>
      </c>
      <c r="AL57" s="33" t="str">
        <f>AL61</f>
        <v>E</v>
      </c>
      <c r="AM57" s="32" t="str">
        <f>AM60</f>
        <v>E</v>
      </c>
      <c r="AN57" s="33" t="str">
        <f>AN61</f>
        <v>E</v>
      </c>
      <c r="AO57" s="30" t="s">
        <v>59</v>
      </c>
      <c r="AP57" s="23"/>
      <c r="AQ57" s="23"/>
      <c r="AR57" s="56" t="s">
        <v>99</v>
      </c>
      <c r="AS57" s="57"/>
      <c r="AT57" s="57"/>
      <c r="AU57" s="57"/>
      <c r="AV57" s="57"/>
      <c r="AW57" s="57"/>
      <c r="AX57" s="57"/>
      <c r="AY57" s="57"/>
      <c r="AZ57" s="57"/>
      <c r="BA57" s="57"/>
      <c r="BB57" s="58"/>
      <c r="BC57" s="23"/>
    </row>
    <row r="58" spans="22:55" ht="30">
      <c r="V58" s="23"/>
      <c r="W58" s="33" t="s">
        <v>21</v>
      </c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3"/>
      <c r="AQ58" s="23"/>
      <c r="AR58" s="42" t="s">
        <v>75</v>
      </c>
      <c r="AS58" s="30">
        <v>1</v>
      </c>
      <c r="AT58" s="30">
        <v>2</v>
      </c>
      <c r="AU58" s="30">
        <v>3</v>
      </c>
      <c r="AV58" s="30">
        <v>4</v>
      </c>
      <c r="AW58" s="30">
        <v>5</v>
      </c>
      <c r="AX58" s="30">
        <v>6</v>
      </c>
      <c r="AY58" s="30">
        <v>7</v>
      </c>
      <c r="AZ58" s="30">
        <v>8</v>
      </c>
      <c r="BA58" s="30">
        <v>9</v>
      </c>
      <c r="BB58" s="30">
        <v>10</v>
      </c>
      <c r="BC58" s="23"/>
    </row>
    <row r="59" spans="22:55" ht="30">
      <c r="V59" s="23"/>
      <c r="W59" s="24"/>
      <c r="X59" s="24"/>
      <c r="Y59" s="24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4"/>
      <c r="AP59" s="23"/>
      <c r="AQ59" s="23"/>
      <c r="AR59" s="42" t="s">
        <v>95</v>
      </c>
      <c r="AS59" s="30">
        <v>1</v>
      </c>
      <c r="AT59" s="30">
        <v>2</v>
      </c>
      <c r="AU59" s="30">
        <v>3</v>
      </c>
      <c r="AV59" s="30">
        <v>4</v>
      </c>
      <c r="AW59" s="30">
        <v>5</v>
      </c>
      <c r="AX59" s="30">
        <v>6</v>
      </c>
      <c r="AY59" s="30">
        <v>7</v>
      </c>
      <c r="AZ59" s="30">
        <v>8</v>
      </c>
      <c r="BA59" s="30" t="s">
        <v>59</v>
      </c>
      <c r="BB59" s="30"/>
      <c r="BC59" s="23"/>
    </row>
    <row r="60" spans="22:55">
      <c r="V60" s="23"/>
      <c r="W60" s="25"/>
      <c r="X60" s="25"/>
      <c r="Y60" s="25" t="s">
        <v>87</v>
      </c>
      <c r="Z60" s="25"/>
      <c r="AA60" s="25" t="s">
        <v>27</v>
      </c>
      <c r="AB60" s="25"/>
      <c r="AC60" s="25" t="s">
        <v>27</v>
      </c>
      <c r="AD60" s="25"/>
      <c r="AE60" s="25" t="s">
        <v>27</v>
      </c>
      <c r="AF60" s="25"/>
      <c r="AG60" s="25" t="s">
        <v>27</v>
      </c>
      <c r="AH60" s="25"/>
      <c r="AI60" s="25" t="s">
        <v>27</v>
      </c>
      <c r="AJ60" s="25"/>
      <c r="AK60" s="25" t="s">
        <v>27</v>
      </c>
      <c r="AL60" s="25"/>
      <c r="AM60" s="25" t="s">
        <v>27</v>
      </c>
      <c r="AN60" s="25"/>
      <c r="AO60" s="25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22:55">
      <c r="V61" s="23"/>
      <c r="W61" s="24"/>
      <c r="X61" s="24"/>
      <c r="Y61" s="24"/>
      <c r="Z61" s="31" t="s">
        <v>27</v>
      </c>
      <c r="AA61" s="24"/>
      <c r="AB61" s="24" t="s">
        <v>27</v>
      </c>
      <c r="AC61" s="24"/>
      <c r="AD61" s="31" t="s">
        <v>27</v>
      </c>
      <c r="AE61" s="24"/>
      <c r="AF61" s="24" t="s">
        <v>27</v>
      </c>
      <c r="AG61" s="24"/>
      <c r="AH61" s="31" t="s">
        <v>27</v>
      </c>
      <c r="AI61" s="24"/>
      <c r="AJ61" s="24" t="s">
        <v>27</v>
      </c>
      <c r="AK61" s="24"/>
      <c r="AL61" s="31" t="s">
        <v>27</v>
      </c>
      <c r="AM61" s="24"/>
      <c r="AN61" s="24" t="s">
        <v>27</v>
      </c>
      <c r="AO61" s="24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22:55"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59" t="s">
        <v>100</v>
      </c>
      <c r="AS62" s="59"/>
      <c r="AT62" s="59"/>
      <c r="AU62" s="59"/>
      <c r="AV62" s="59"/>
      <c r="AW62" s="23"/>
      <c r="AX62" s="23"/>
      <c r="AY62" s="23"/>
      <c r="AZ62" s="23"/>
      <c r="BA62" s="23"/>
      <c r="BB62" s="23"/>
      <c r="BC62" s="23"/>
    </row>
    <row r="63" spans="22:55" ht="30"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42" t="s">
        <v>75</v>
      </c>
      <c r="AS63" s="30">
        <v>1</v>
      </c>
      <c r="AT63" s="30">
        <v>2</v>
      </c>
      <c r="AU63" s="30">
        <v>3</v>
      </c>
      <c r="AV63" s="30">
        <v>4</v>
      </c>
      <c r="AW63" s="23"/>
      <c r="AX63" s="23"/>
      <c r="AY63" s="23"/>
      <c r="AZ63" s="23"/>
      <c r="BA63" s="23"/>
      <c r="BB63" s="23"/>
      <c r="BC63" s="23"/>
    </row>
    <row r="64" spans="22:55" ht="30"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42" t="s">
        <v>95</v>
      </c>
      <c r="AS64" s="30" t="s">
        <v>59</v>
      </c>
      <c r="AT64" s="30">
        <v>64</v>
      </c>
      <c r="AU64" s="30">
        <v>66</v>
      </c>
      <c r="AV64" s="30">
        <v>67</v>
      </c>
      <c r="AW64" s="23"/>
      <c r="AX64" s="23"/>
      <c r="AY64" s="23"/>
      <c r="AZ64" s="23"/>
      <c r="BA64" s="23"/>
      <c r="BB64" s="23"/>
      <c r="BC64" s="23"/>
    </row>
    <row r="65" spans="22:55">
      <c r="V65" s="23"/>
      <c r="W65" s="60" t="s">
        <v>89</v>
      </c>
      <c r="X65" s="61"/>
      <c r="Y65" s="61"/>
      <c r="Z65" s="61"/>
      <c r="AA65" s="62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22:55">
      <c r="V66" s="23"/>
      <c r="W66" s="39" t="s">
        <v>75</v>
      </c>
      <c r="X66" s="39">
        <v>1</v>
      </c>
      <c r="Y66" s="39">
        <v>2</v>
      </c>
      <c r="Z66" s="39">
        <v>3</v>
      </c>
      <c r="AA66" s="39">
        <v>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22:55">
      <c r="V67" s="23"/>
      <c r="W67" s="39" t="s">
        <v>53</v>
      </c>
      <c r="X67" s="39" t="s">
        <v>59</v>
      </c>
      <c r="Y67" s="39">
        <v>1</v>
      </c>
      <c r="Z67" s="39">
        <v>9</v>
      </c>
      <c r="AA67" s="39">
        <v>17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22:55"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22:55"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22:55"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22:55"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22:55"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22:55"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22:55"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22:55"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22:55"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22:55"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22:55"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22:55"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22:55"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</row>
  </sheetData>
  <mergeCells count="20">
    <mergeCell ref="B3:F3"/>
    <mergeCell ref="B8:T8"/>
    <mergeCell ref="B13:T13"/>
    <mergeCell ref="B29:T29"/>
    <mergeCell ref="B23:T23"/>
    <mergeCell ref="B18:T18"/>
    <mergeCell ref="W45:AO45"/>
    <mergeCell ref="W55:AO55"/>
    <mergeCell ref="W65:AA65"/>
    <mergeCell ref="W37:AO37"/>
    <mergeCell ref="W9:AO9"/>
    <mergeCell ref="W19:AO19"/>
    <mergeCell ref="W28:AO28"/>
    <mergeCell ref="AR45:BB45"/>
    <mergeCell ref="AR51:BB51"/>
    <mergeCell ref="AR57:BB57"/>
    <mergeCell ref="AR62:AV62"/>
    <mergeCell ref="AR28:BB28"/>
    <mergeCell ref="AR33:AZ33"/>
    <mergeCell ref="AR39:BB3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 Yiquan</vt:lpstr>
      <vt:lpstr>Data</vt:lpstr>
      <vt:lpstr>Plate Maps</vt:lpstr>
      <vt:lpstr>Sheet2</vt:lpstr>
      <vt:lpstr>Data!Print_Area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cp:lastPrinted>2023-03-21T18:52:27Z</cp:lastPrinted>
  <dcterms:created xsi:type="dcterms:W3CDTF">2023-02-28T19:20:48Z</dcterms:created>
  <dcterms:modified xsi:type="dcterms:W3CDTF">2023-04-04T04:49:24Z</dcterms:modified>
  <cp:category/>
  <cp:contentStatus/>
</cp:coreProperties>
</file>