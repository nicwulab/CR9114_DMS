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quan/PycharmProjects/CR9114/katrine_fluB_2024_09_26/"/>
    </mc:Choice>
  </mc:AlternateContent>
  <xr:revisionPtr revIDLastSave="0" documentId="13_ncr:1_{2E4F55EE-A274-B14D-A737-18613B502C03}" xr6:coauthVersionLast="47" xr6:coauthVersionMax="47" xr10:uidLastSave="{00000000-0000-0000-0000-000000000000}"/>
  <bookViews>
    <workbookView xWindow="0" yWindow="500" windowWidth="25600" windowHeight="14300" activeTab="1" xr2:uid="{C87FFBF0-CD2E-5A4F-95AD-56AEA10630E1}"/>
  </bookViews>
  <sheets>
    <sheet name="H1" sheetId="1" r:id="rId1"/>
    <sheet name="H3" sheetId="2" r:id="rId2"/>
    <sheet name="flu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5" i="2" l="1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  <c r="L75" i="3"/>
  <c r="M75" i="3" s="1"/>
  <c r="L74" i="3"/>
  <c r="M74" i="3" s="1"/>
  <c r="L73" i="3"/>
  <c r="M73" i="3" s="1"/>
  <c r="L72" i="3"/>
  <c r="M72" i="3" s="1"/>
  <c r="L71" i="3"/>
  <c r="M71" i="3" s="1"/>
  <c r="L70" i="3"/>
  <c r="M70" i="3" s="1"/>
  <c r="L69" i="3"/>
  <c r="M69" i="3" s="1"/>
  <c r="L68" i="3"/>
  <c r="M68" i="3" s="1"/>
  <c r="L67" i="3"/>
  <c r="M67" i="3" s="1"/>
  <c r="L66" i="3"/>
  <c r="M66" i="3" s="1"/>
  <c r="L65" i="3"/>
  <c r="M65" i="3" s="1"/>
  <c r="L64" i="3"/>
  <c r="M64" i="3" s="1"/>
  <c r="L63" i="3"/>
  <c r="M63" i="3" s="1"/>
  <c r="L62" i="3"/>
  <c r="M62" i="3" s="1"/>
  <c r="L61" i="3"/>
  <c r="M61" i="3" s="1"/>
  <c r="L60" i="3"/>
  <c r="M60" i="3" s="1"/>
  <c r="L59" i="3"/>
  <c r="M59" i="3" s="1"/>
  <c r="L58" i="3"/>
  <c r="M58" i="3" s="1"/>
  <c r="L57" i="3"/>
  <c r="M57" i="3" s="1"/>
  <c r="L56" i="3"/>
  <c r="M56" i="3" s="1"/>
  <c r="L55" i="3"/>
  <c r="M55" i="3" s="1"/>
  <c r="L54" i="3"/>
  <c r="M54" i="3" s="1"/>
  <c r="L53" i="3"/>
  <c r="M53" i="3" s="1"/>
  <c r="L52" i="3"/>
  <c r="M52" i="3" s="1"/>
  <c r="L51" i="3"/>
  <c r="M51" i="3" s="1"/>
  <c r="L50" i="3"/>
  <c r="M50" i="3" s="1"/>
  <c r="L49" i="3"/>
  <c r="M49" i="3" s="1"/>
  <c r="L48" i="3"/>
  <c r="M48" i="3" s="1"/>
  <c r="L47" i="3"/>
  <c r="M47" i="3" s="1"/>
  <c r="L46" i="3"/>
  <c r="M46" i="3" s="1"/>
  <c r="L45" i="3"/>
  <c r="M45" i="3" s="1"/>
  <c r="L44" i="3"/>
  <c r="M44" i="3" s="1"/>
  <c r="L43" i="3"/>
  <c r="M43" i="3" s="1"/>
  <c r="L42" i="3"/>
  <c r="M42" i="3" s="1"/>
  <c r="L41" i="3"/>
  <c r="M41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32" i="3"/>
  <c r="M32" i="3" s="1"/>
  <c r="L31" i="3"/>
  <c r="M31" i="3" s="1"/>
  <c r="L30" i="3"/>
  <c r="M30" i="3" s="1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L4" i="3"/>
  <c r="M4" i="3" s="1"/>
  <c r="L3" i="3"/>
  <c r="M3" i="3" s="1"/>
  <c r="L2" i="3"/>
  <c r="M2" i="3" s="1"/>
  <c r="M42" i="1"/>
  <c r="M49" i="1"/>
  <c r="L75" i="1"/>
  <c r="M75" i="1" s="1"/>
  <c r="L74" i="1"/>
  <c r="M74" i="1" s="1"/>
  <c r="L73" i="1"/>
  <c r="M73" i="1" s="1"/>
  <c r="L72" i="1"/>
  <c r="M72" i="1" s="1"/>
  <c r="L71" i="1"/>
  <c r="M71" i="1" s="1"/>
  <c r="L70" i="1"/>
  <c r="M70" i="1" s="1"/>
  <c r="L69" i="1"/>
  <c r="M69" i="1" s="1"/>
  <c r="L68" i="1"/>
  <c r="M68" i="1" s="1"/>
  <c r="L67" i="1"/>
  <c r="M67" i="1" s="1"/>
  <c r="L66" i="1"/>
  <c r="M66" i="1" s="1"/>
  <c r="L65" i="1"/>
  <c r="M65" i="1" s="1"/>
  <c r="L64" i="1"/>
  <c r="M64" i="1" s="1"/>
  <c r="L63" i="1"/>
  <c r="M63" i="1" s="1"/>
  <c r="L62" i="1"/>
  <c r="M62" i="1" s="1"/>
  <c r="L61" i="1"/>
  <c r="M61" i="1" s="1"/>
  <c r="L60" i="1"/>
  <c r="M60" i="1" s="1"/>
  <c r="L59" i="1"/>
  <c r="M59" i="1" s="1"/>
  <c r="L58" i="1"/>
  <c r="M58" i="1" s="1"/>
  <c r="L57" i="1"/>
  <c r="M57" i="1" s="1"/>
  <c r="L56" i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L2" i="1"/>
  <c r="M2" i="1" s="1"/>
</calcChain>
</file>

<file path=xl/sharedStrings.xml><?xml version="1.0" encoding="utf-8"?>
<sst xmlns="http://schemas.openxmlformats.org/spreadsheetml/2006/main" count="1216" uniqueCount="111">
  <si>
    <t>Sample ID</t>
  </si>
  <si>
    <t>Date on Freeze Tubes</t>
  </si>
  <si>
    <t>Date of actual sort</t>
  </si>
  <si>
    <t>Sort Rep # (1 or 2)</t>
  </si>
  <si>
    <t>Probe ID</t>
  </si>
  <si>
    <t>Conc. of  probe used (nM)</t>
  </si>
  <si>
    <t>Gate, Numerical</t>
  </si>
  <si>
    <t>Gate, Description</t>
  </si>
  <si>
    <t>Unique Identifier</t>
  </si>
  <si>
    <t>Shorthand Spl ID</t>
  </si>
  <si>
    <t>2024.07.17</t>
  </si>
  <si>
    <t>miniH1-PE</t>
  </si>
  <si>
    <t>Low</t>
  </si>
  <si>
    <t>A</t>
  </si>
  <si>
    <t>Med Low</t>
  </si>
  <si>
    <t>B</t>
  </si>
  <si>
    <t>Med High</t>
  </si>
  <si>
    <t>C</t>
  </si>
  <si>
    <t>High</t>
  </si>
  <si>
    <t>D</t>
  </si>
  <si>
    <t>antiHAtag-PE</t>
  </si>
  <si>
    <t>2024.07.22</t>
  </si>
  <si>
    <t>2024.07.23</t>
  </si>
  <si>
    <t>2024.07.31</t>
  </si>
  <si>
    <t>fluB HA-PE</t>
  </si>
  <si>
    <t>2024.07.24</t>
  </si>
  <si>
    <t>2024.08.01</t>
  </si>
  <si>
    <t>2024.07.05</t>
  </si>
  <si>
    <t>H3-PE</t>
  </si>
  <si>
    <t>pre</t>
  </si>
  <si>
    <t>NA</t>
  </si>
  <si>
    <t>"pre"</t>
  </si>
  <si>
    <t>2024.07.16</t>
  </si>
  <si>
    <t>2024.07.15</t>
  </si>
  <si>
    <t>N/A</t>
  </si>
  <si>
    <t>FACS Label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</si>
  <si>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</si>
  <si>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</si>
  <si>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</si>
  <si>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</si>
  <si>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</si>
  <si>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</si>
  <si>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</si>
  <si>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</si>
  <si>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</si>
  <si>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15-10</t>
  </si>
  <si>
    <t>15-11</t>
  </si>
  <si>
    <t>15-12</t>
  </si>
  <si>
    <t>15-13</t>
  </si>
  <si>
    <t>15-14</t>
  </si>
  <si>
    <t>15-15</t>
  </si>
  <si>
    <t>15-16</t>
  </si>
  <si>
    <t>15-17</t>
  </si>
  <si>
    <t>15-18</t>
  </si>
  <si>
    <t>15-19</t>
  </si>
  <si>
    <t>15-20</t>
  </si>
  <si>
    <t>15-21</t>
  </si>
  <si>
    <t>15-22</t>
  </si>
  <si>
    <t>15-23</t>
  </si>
  <si>
    <t>15-24</t>
  </si>
  <si>
    <t>15-25</t>
  </si>
  <si>
    <t>15-26</t>
  </si>
  <si>
    <t>15-27</t>
  </si>
  <si>
    <t>15-28</t>
  </si>
  <si>
    <t>15-29</t>
  </si>
  <si>
    <t>15-30</t>
  </si>
  <si>
    <t>15-31</t>
  </si>
  <si>
    <t>15-32</t>
  </si>
  <si>
    <t>15-A</t>
  </si>
  <si>
    <t>15-B</t>
  </si>
  <si>
    <t>15-C</t>
  </si>
  <si>
    <t>15-D</t>
  </si>
  <si>
    <t>16-33</t>
  </si>
  <si>
    <t>16-34</t>
  </si>
  <si>
    <t>16-35</t>
  </si>
  <si>
    <t>16-36</t>
  </si>
  <si>
    <t>16-37</t>
  </si>
  <si>
    <t>16-38</t>
  </si>
  <si>
    <t>16-39</t>
  </si>
  <si>
    <t>16-40</t>
  </si>
  <si>
    <t>16-41</t>
  </si>
  <si>
    <t>16-42</t>
  </si>
  <si>
    <t>16-43</t>
  </si>
  <si>
    <t>16-44</t>
  </si>
  <si>
    <t>16-45</t>
  </si>
  <si>
    <t>16-46</t>
  </si>
  <si>
    <t>16-47</t>
  </si>
  <si>
    <t>16-48</t>
  </si>
  <si>
    <t>16-49</t>
  </si>
  <si>
    <t>16-50</t>
  </si>
  <si>
    <t>16-51</t>
  </si>
  <si>
    <t>16-52</t>
  </si>
  <si>
    <t>16-53</t>
  </si>
  <si>
    <t>16-54</t>
  </si>
  <si>
    <t>16-55</t>
  </si>
  <si>
    <t>16-56</t>
  </si>
  <si>
    <t>16-57</t>
  </si>
  <si>
    <t>16-58</t>
  </si>
  <si>
    <t>16-59</t>
  </si>
  <si>
    <t>16-60</t>
  </si>
  <si>
    <t>16-A</t>
  </si>
  <si>
    <t>16-B</t>
  </si>
  <si>
    <t>16-C</t>
  </si>
  <si>
    <t>16-D</t>
  </si>
  <si>
    <t>16-61</t>
  </si>
  <si>
    <t>16-62</t>
  </si>
  <si>
    <t>16-63</t>
  </si>
  <si>
    <t>16-64</t>
  </si>
  <si>
    <t>15-pre</t>
  </si>
  <si>
    <t>16-pre</t>
  </si>
  <si>
    <t>Sequencing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</si>
</sst>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4" fillId="0" borderId="1" xfId="0" applyFont="1" applyBorder="1"/>
    <xf numFmtId="0" fontId="0" fillId="0" borderId="1" xfId="0" applyBorder="1"/>
    <xf numFmtId="0" fontId="4" fillId="0" borderId="4" xfId="0" applyFont="1" applyBorder="1"/>
    <xf numFmtId="0" fontId="4" fillId="0" borderId="1" xfId="0" applyFont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4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6B09-FAEA-D146-898F-1FB9450038FE}">
  <dimension ref="A1:M151"/>
  <sheetViews>
    <sheetView workbookViewId="0">
      <selection activeCell="C8" sqref="C8"/>
    </sheetView>
  </sheetViews>
  <sheetFormatPr baseColWidth="10" defaultColWidth="11" defaultRowHeight="16" x14ac:dyDescent="0.2"/>
  <cols>
    <col min="1" max="1" width="9.5" style="5" bestFit="1" customWidth="1"/>
    <col min="2" max="2" width="10.83203125"/>
    <col min="3" max="3" width="13.33203125" style="5" bestFit="1" customWidth="1"/>
    <col min="4" max="4" width="16.5" style="5" bestFit="1" customWidth="1"/>
    <col min="5" max="5" width="4.83203125" style="5" bestFit="1" customWidth="1"/>
    <col min="6" max="6" width="11.83203125" style="5" bestFit="1" customWidth="1"/>
    <col min="7" max="7" width="6.1640625" style="5" bestFit="1" customWidth="1"/>
    <col min="8" max="8" width="9.83203125" style="5" bestFit="1" customWidth="1"/>
    <col min="9" max="9" width="8.6640625" style="5" bestFit="1" customWidth="1"/>
    <col min="10" max="10" width="4.1640625" bestFit="1" customWidth="1"/>
    <col min="11" max="11" width="9.5" bestFit="1" customWidth="1"/>
    <col min="12" max="12" width="13.6640625" bestFit="1" customWidth="1"/>
    <col min="13" max="13" width="21" bestFit="1" customWidth="1"/>
    <col min="14" max="14" width="8.33203125" bestFit="1" customWidth="1"/>
    <col min="15" max="15" width="5.83203125" bestFit="1" customWidth="1"/>
    <col min="16" max="16" width="10" bestFit="1" customWidth="1"/>
    <col min="17" max="17" width="35.83203125" bestFit="1" customWidth="1"/>
    <col min="18" max="18" width="14.5" customWidth="1"/>
    <col min="19" max="19" width="15" customWidth="1"/>
    <col min="20" max="20" width="15.6640625" customWidth="1"/>
    <col min="21" max="21" width="18.1640625" customWidth="1"/>
    <col min="24" max="24" width="4.33203125" bestFit="1" customWidth="1"/>
  </cols>
  <sheetData>
    <row r="1" spans="1:13" ht="86" thickBot="1" x14ac:dyDescent="0.25">
      <c r="A1" s="1" t="s">
        <v>0</v>
      </c>
      <c r="B1" s="1" t="s">
        <v>110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3" t="s">
        <v>0</v>
      </c>
      <c r="M1" s="18" t="s">
        <v>35</v>
      </c>
    </row>
    <row r="2" spans="1:13" x14ac:dyDescent="0.2">
      <c r="A2" s="4">
        <v>1</v>
      </c>
      <c r="B2" s="4" t="s">
        <v>36</v>
      </c>
      <c r="C2" s="5" t="s">
        <v>10</v>
      </c>
      <c r="D2" s="5" t="s">
        <v>10</v>
      </c>
      <c r="E2" s="4">
        <v>1</v>
      </c>
      <c r="F2" s="4" t="s">
        <v>11</v>
      </c>
      <c r="G2" s="4">
        <v>10</v>
      </c>
      <c r="H2" s="4">
        <v>1</v>
      </c>
      <c r="I2" s="4" t="s">
        <v>12</v>
      </c>
      <c r="J2" s="5">
        <v>1</v>
      </c>
      <c r="K2" s="4">
        <v>1</v>
      </c>
      <c r="L2" t="str">
        <f t="shared" ref="L2:L33" si="0">CONCATENATE(D2,"_",A2)</f>
        <v>2024.07.17_1</v>
      </c>
      <c r="M2" t="str">
        <f t="shared" ref="M2:M33" si="1">CONCATENATE(L2,"_",G2,"nM")</f>
        <v>2024.07.17_1_10nM</v>
      </c>
    </row>
    <row r="3" spans="1:13" x14ac:dyDescent="0.2">
      <c r="A3" s="4">
        <v>2</v>
      </c>
      <c r="B3" s="4" t="s">
        <v>37</v>
      </c>
      <c r="C3" s="5" t="s">
        <v>10</v>
      </c>
      <c r="D3" s="5" t="s">
        <v>10</v>
      </c>
      <c r="E3" s="4">
        <v>1</v>
      </c>
      <c r="F3" s="4" t="s">
        <v>11</v>
      </c>
      <c r="G3" s="4">
        <v>10</v>
      </c>
      <c r="H3" s="4">
        <v>2</v>
      </c>
      <c r="I3" s="4" t="s">
        <v>14</v>
      </c>
      <c r="J3" s="5">
        <v>2</v>
      </c>
      <c r="K3" s="6">
        <v>2</v>
      </c>
      <c r="L3" t="str">
        <f t="shared" si="0"/>
        <v>2024.07.17_2</v>
      </c>
      <c r="M3" t="str">
        <f t="shared" si="1"/>
        <v>2024.07.17_2_10nM</v>
      </c>
    </row>
    <row r="4" spans="1:13" x14ac:dyDescent="0.2">
      <c r="A4" s="4">
        <v>3</v>
      </c>
      <c r="B4" s="4" t="s">
        <v>38</v>
      </c>
      <c r="C4" s="5" t="s">
        <v>10</v>
      </c>
      <c r="D4" s="5" t="s">
        <v>10</v>
      </c>
      <c r="E4" s="4">
        <v>1</v>
      </c>
      <c r="F4" s="4" t="s">
        <v>11</v>
      </c>
      <c r="G4" s="4">
        <v>10</v>
      </c>
      <c r="H4" s="4">
        <v>3</v>
      </c>
      <c r="I4" s="4" t="s">
        <v>16</v>
      </c>
      <c r="J4" s="5">
        <v>3</v>
      </c>
      <c r="K4" s="6">
        <v>3</v>
      </c>
      <c r="L4" t="str">
        <f t="shared" si="0"/>
        <v>2024.07.17_3</v>
      </c>
      <c r="M4" t="str">
        <f t="shared" si="1"/>
        <v>2024.07.17_3_10nM</v>
      </c>
    </row>
    <row r="5" spans="1:13" x14ac:dyDescent="0.2">
      <c r="A5" s="4">
        <v>4</v>
      </c>
      <c r="B5" s="4" t="s">
        <v>39</v>
      </c>
      <c r="C5" s="5" t="s">
        <v>10</v>
      </c>
      <c r="D5" s="5" t="s">
        <v>10</v>
      </c>
      <c r="E5" s="4">
        <v>1</v>
      </c>
      <c r="F5" s="4" t="s">
        <v>11</v>
      </c>
      <c r="G5" s="4">
        <v>10</v>
      </c>
      <c r="H5" s="4">
        <v>4</v>
      </c>
      <c r="I5" s="4" t="s">
        <v>18</v>
      </c>
      <c r="J5" s="5">
        <v>4</v>
      </c>
      <c r="K5" s="6">
        <v>4</v>
      </c>
      <c r="L5" t="str">
        <f t="shared" si="0"/>
        <v>2024.07.17_4</v>
      </c>
      <c r="M5" t="str">
        <f t="shared" si="1"/>
        <v>2024.07.17_4_10nM</v>
      </c>
    </row>
    <row r="6" spans="1:13" x14ac:dyDescent="0.2">
      <c r="A6" s="4">
        <v>5</v>
      </c>
      <c r="B6" s="4" t="s">
        <v>40</v>
      </c>
      <c r="C6" s="5" t="s">
        <v>10</v>
      </c>
      <c r="D6" s="5" t="s">
        <v>10</v>
      </c>
      <c r="E6" s="4">
        <v>1</v>
      </c>
      <c r="F6" s="4" t="s">
        <v>11</v>
      </c>
      <c r="G6" s="4">
        <v>3</v>
      </c>
      <c r="H6" s="4">
        <v>1</v>
      </c>
      <c r="I6" s="4" t="s">
        <v>12</v>
      </c>
      <c r="J6" s="5">
        <v>5</v>
      </c>
      <c r="K6" s="6">
        <v>5</v>
      </c>
      <c r="L6" t="str">
        <f t="shared" si="0"/>
        <v>2024.07.17_5</v>
      </c>
      <c r="M6" t="str">
        <f t="shared" si="1"/>
        <v>2024.07.17_5_3nM</v>
      </c>
    </row>
    <row r="7" spans="1:13" x14ac:dyDescent="0.2">
      <c r="A7" s="4">
        <v>6</v>
      </c>
      <c r="B7" s="4" t="s">
        <v>41</v>
      </c>
      <c r="C7" s="5" t="s">
        <v>10</v>
      </c>
      <c r="D7" s="5" t="s">
        <v>10</v>
      </c>
      <c r="E7" s="4">
        <v>1</v>
      </c>
      <c r="F7" s="4" t="s">
        <v>11</v>
      </c>
      <c r="G7" s="4">
        <v>3</v>
      </c>
      <c r="H7" s="4">
        <v>2</v>
      </c>
      <c r="I7" s="4" t="s">
        <v>14</v>
      </c>
      <c r="J7" s="5">
        <v>6</v>
      </c>
      <c r="K7" s="6">
        <v>6</v>
      </c>
      <c r="L7" t="str">
        <f t="shared" si="0"/>
        <v>2024.07.17_6</v>
      </c>
      <c r="M7" t="str">
        <f t="shared" si="1"/>
        <v>2024.07.17_6_3nM</v>
      </c>
    </row>
    <row r="8" spans="1:13" x14ac:dyDescent="0.2">
      <c r="A8" s="4">
        <v>7</v>
      </c>
      <c r="B8" s="4" t="s">
        <v>42</v>
      </c>
      <c r="C8" s="5" t="s">
        <v>10</v>
      </c>
      <c r="D8" s="5" t="s">
        <v>10</v>
      </c>
      <c r="E8" s="4">
        <v>1</v>
      </c>
      <c r="F8" s="4" t="s">
        <v>11</v>
      </c>
      <c r="G8" s="4">
        <v>3</v>
      </c>
      <c r="H8" s="4">
        <v>3</v>
      </c>
      <c r="I8" s="4" t="s">
        <v>16</v>
      </c>
      <c r="J8" s="5">
        <v>7</v>
      </c>
      <c r="K8" s="6">
        <v>7</v>
      </c>
      <c r="L8" t="str">
        <f t="shared" si="0"/>
        <v>2024.07.17_7</v>
      </c>
      <c r="M8" t="str">
        <f t="shared" si="1"/>
        <v>2024.07.17_7_3nM</v>
      </c>
    </row>
    <row r="9" spans="1:13" x14ac:dyDescent="0.2">
      <c r="A9" s="4">
        <v>8</v>
      </c>
      <c r="B9" s="4" t="s">
        <v>43</v>
      </c>
      <c r="C9" s="5" t="s">
        <v>10</v>
      </c>
      <c r="D9" s="5" t="s">
        <v>10</v>
      </c>
      <c r="E9" s="4">
        <v>1</v>
      </c>
      <c r="F9" s="4" t="s">
        <v>11</v>
      </c>
      <c r="G9" s="4">
        <v>3</v>
      </c>
      <c r="H9" s="4">
        <v>4</v>
      </c>
      <c r="I9" s="4" t="s">
        <v>18</v>
      </c>
      <c r="J9" s="5">
        <v>8</v>
      </c>
      <c r="K9" s="6">
        <v>8</v>
      </c>
      <c r="L9" t="str">
        <f t="shared" si="0"/>
        <v>2024.07.17_8</v>
      </c>
      <c r="M9" t="str">
        <f t="shared" si="1"/>
        <v>2024.07.17_8_3nM</v>
      </c>
    </row>
    <row r="10" spans="1:13" x14ac:dyDescent="0.2">
      <c r="A10" s="4">
        <v>9</v>
      </c>
      <c r="B10" s="4" t="s">
        <v>44</v>
      </c>
      <c r="C10" s="5" t="s">
        <v>10</v>
      </c>
      <c r="D10" s="5" t="s">
        <v>10</v>
      </c>
      <c r="E10" s="4">
        <v>1</v>
      </c>
      <c r="F10" s="4" t="s">
        <v>11</v>
      </c>
      <c r="G10" s="4">
        <v>1</v>
      </c>
      <c r="H10" s="4">
        <v>1</v>
      </c>
      <c r="I10" s="4" t="s">
        <v>12</v>
      </c>
      <c r="J10" s="5">
        <v>9</v>
      </c>
      <c r="K10" s="6">
        <v>9</v>
      </c>
      <c r="L10" t="str">
        <f t="shared" si="0"/>
        <v>2024.07.17_9</v>
      </c>
      <c r="M10" t="str">
        <f t="shared" si="1"/>
        <v>2024.07.17_9_1nM</v>
      </c>
    </row>
    <row r="11" spans="1:13" x14ac:dyDescent="0.2">
      <c r="A11" s="4">
        <v>10</v>
      </c>
      <c r="B11" s="4" t="s">
        <v>45</v>
      </c>
      <c r="C11" s="5" t="s">
        <v>10</v>
      </c>
      <c r="D11" s="5" t="s">
        <v>10</v>
      </c>
      <c r="E11" s="4">
        <v>1</v>
      </c>
      <c r="F11" s="4" t="s">
        <v>11</v>
      </c>
      <c r="G11" s="4">
        <v>1</v>
      </c>
      <c r="H11" s="4">
        <v>2</v>
      </c>
      <c r="I11" s="4" t="s">
        <v>14</v>
      </c>
      <c r="J11" s="5">
        <v>10</v>
      </c>
      <c r="K11" s="6">
        <v>10</v>
      </c>
      <c r="L11" t="str">
        <f t="shared" si="0"/>
        <v>2024.07.17_10</v>
      </c>
      <c r="M11" t="str">
        <f t="shared" si="1"/>
        <v>2024.07.17_10_1nM</v>
      </c>
    </row>
    <row r="12" spans="1:13" x14ac:dyDescent="0.2">
      <c r="A12" s="4">
        <v>11</v>
      </c>
      <c r="B12" s="4" t="s">
        <v>46</v>
      </c>
      <c r="C12" s="5" t="s">
        <v>10</v>
      </c>
      <c r="D12" s="5" t="s">
        <v>10</v>
      </c>
      <c r="E12" s="4">
        <v>1</v>
      </c>
      <c r="F12" s="4" t="s">
        <v>11</v>
      </c>
      <c r="G12" s="4">
        <v>1</v>
      </c>
      <c r="H12" s="4">
        <v>3</v>
      </c>
      <c r="I12" s="4" t="s">
        <v>16</v>
      </c>
      <c r="J12" s="5">
        <v>11</v>
      </c>
      <c r="K12" s="6">
        <v>11</v>
      </c>
      <c r="L12" t="str">
        <f t="shared" si="0"/>
        <v>2024.07.17_11</v>
      </c>
      <c r="M12" t="str">
        <f t="shared" si="1"/>
        <v>2024.07.17_11_1nM</v>
      </c>
    </row>
    <row r="13" spans="1:13" x14ac:dyDescent="0.2">
      <c r="A13" s="4">
        <v>12</v>
      </c>
      <c r="B13" s="4" t="s">
        <v>47</v>
      </c>
      <c r="C13" s="5" t="s">
        <v>10</v>
      </c>
      <c r="D13" s="5" t="s">
        <v>10</v>
      </c>
      <c r="E13" s="4">
        <v>1</v>
      </c>
      <c r="F13" s="4" t="s">
        <v>11</v>
      </c>
      <c r="G13" s="4">
        <v>1</v>
      </c>
      <c r="H13" s="4">
        <v>4</v>
      </c>
      <c r="I13" s="4" t="s">
        <v>18</v>
      </c>
      <c r="J13" s="5">
        <v>12</v>
      </c>
      <c r="K13" s="6">
        <v>12</v>
      </c>
      <c r="L13" t="str">
        <f t="shared" si="0"/>
        <v>2024.07.17_12</v>
      </c>
      <c r="M13" t="str">
        <f t="shared" si="1"/>
        <v>2024.07.17_12_1nM</v>
      </c>
    </row>
    <row r="14" spans="1:13" x14ac:dyDescent="0.2">
      <c r="A14" s="4">
        <v>13</v>
      </c>
      <c r="B14" s="4" t="s">
        <v>48</v>
      </c>
      <c r="C14" s="5" t="s">
        <v>10</v>
      </c>
      <c r="D14" s="5" t="s">
        <v>10</v>
      </c>
      <c r="E14" s="4">
        <v>1</v>
      </c>
      <c r="F14" s="4" t="s">
        <v>11</v>
      </c>
      <c r="G14" s="4">
        <v>0.3</v>
      </c>
      <c r="H14" s="4">
        <v>1</v>
      </c>
      <c r="I14" s="4" t="s">
        <v>12</v>
      </c>
      <c r="J14" s="5">
        <v>13</v>
      </c>
      <c r="K14" s="6">
        <v>13</v>
      </c>
      <c r="L14" t="str">
        <f t="shared" si="0"/>
        <v>2024.07.17_13</v>
      </c>
      <c r="M14" t="str">
        <f t="shared" si="1"/>
        <v>2024.07.17_13_0.3nM</v>
      </c>
    </row>
    <row r="15" spans="1:13" x14ac:dyDescent="0.2">
      <c r="A15" s="4">
        <v>14</v>
      </c>
      <c r="B15" s="4" t="s">
        <v>49</v>
      </c>
      <c r="C15" s="5" t="s">
        <v>10</v>
      </c>
      <c r="D15" s="5" t="s">
        <v>10</v>
      </c>
      <c r="E15" s="4">
        <v>1</v>
      </c>
      <c r="F15" s="4" t="s">
        <v>11</v>
      </c>
      <c r="G15" s="4">
        <v>0.3</v>
      </c>
      <c r="H15" s="4">
        <v>2</v>
      </c>
      <c r="I15" s="4" t="s">
        <v>14</v>
      </c>
      <c r="J15" s="5">
        <v>14</v>
      </c>
      <c r="K15" s="6">
        <v>14</v>
      </c>
      <c r="L15" t="str">
        <f t="shared" si="0"/>
        <v>2024.07.17_14</v>
      </c>
      <c r="M15" t="str">
        <f t="shared" si="1"/>
        <v>2024.07.17_14_0.3nM</v>
      </c>
    </row>
    <row r="16" spans="1:13" x14ac:dyDescent="0.2">
      <c r="A16" s="4">
        <v>15</v>
      </c>
      <c r="B16" s="4" t="s">
        <v>50</v>
      </c>
      <c r="C16" s="5" t="s">
        <v>10</v>
      </c>
      <c r="D16" s="5" t="s">
        <v>10</v>
      </c>
      <c r="E16" s="4">
        <v>1</v>
      </c>
      <c r="F16" s="4" t="s">
        <v>11</v>
      </c>
      <c r="G16" s="4">
        <v>0.3</v>
      </c>
      <c r="H16" s="4">
        <v>3</v>
      </c>
      <c r="I16" s="4" t="s">
        <v>16</v>
      </c>
      <c r="J16" s="5">
        <v>15</v>
      </c>
      <c r="K16" s="6">
        <v>15</v>
      </c>
      <c r="L16" t="str">
        <f t="shared" si="0"/>
        <v>2024.07.17_15</v>
      </c>
      <c r="M16" t="str">
        <f t="shared" si="1"/>
        <v>2024.07.17_15_0.3nM</v>
      </c>
    </row>
    <row r="17" spans="1:13" x14ac:dyDescent="0.2">
      <c r="A17" s="4">
        <v>16</v>
      </c>
      <c r="B17" s="4" t="s">
        <v>51</v>
      </c>
      <c r="C17" s="5" t="s">
        <v>10</v>
      </c>
      <c r="D17" s="5" t="s">
        <v>10</v>
      </c>
      <c r="E17" s="4">
        <v>1</v>
      </c>
      <c r="F17" s="4" t="s">
        <v>11</v>
      </c>
      <c r="G17" s="4">
        <v>0.3</v>
      </c>
      <c r="H17" s="4">
        <v>4</v>
      </c>
      <c r="I17" s="4" t="s">
        <v>18</v>
      </c>
      <c r="J17" s="5">
        <v>16</v>
      </c>
      <c r="K17" s="6">
        <v>16</v>
      </c>
      <c r="L17" t="str">
        <f t="shared" si="0"/>
        <v>2024.07.17_16</v>
      </c>
      <c r="M17" t="str">
        <f t="shared" si="1"/>
        <v>2024.07.17_16_0.3nM</v>
      </c>
    </row>
    <row r="18" spans="1:13" x14ac:dyDescent="0.2">
      <c r="A18" s="4">
        <v>17</v>
      </c>
      <c r="B18" s="4" t="s">
        <v>52</v>
      </c>
      <c r="C18" s="5" t="s">
        <v>10</v>
      </c>
      <c r="D18" s="5" t="s">
        <v>10</v>
      </c>
      <c r="E18" s="4">
        <v>1</v>
      </c>
      <c r="F18" s="4" t="s">
        <v>11</v>
      </c>
      <c r="G18" s="4">
        <v>0.1</v>
      </c>
      <c r="H18" s="4">
        <v>1</v>
      </c>
      <c r="I18" s="4" t="s">
        <v>12</v>
      </c>
      <c r="J18" s="5">
        <v>17</v>
      </c>
      <c r="K18" s="6">
        <v>17</v>
      </c>
      <c r="L18" t="str">
        <f t="shared" si="0"/>
        <v>2024.07.17_17</v>
      </c>
      <c r="M18" t="str">
        <f t="shared" si="1"/>
        <v>2024.07.17_17_0.1nM</v>
      </c>
    </row>
    <row r="19" spans="1:13" x14ac:dyDescent="0.2">
      <c r="A19" s="4">
        <v>18</v>
      </c>
      <c r="B19" s="4" t="s">
        <v>53</v>
      </c>
      <c r="C19" s="5" t="s">
        <v>10</v>
      </c>
      <c r="D19" s="5" t="s">
        <v>10</v>
      </c>
      <c r="E19" s="4">
        <v>1</v>
      </c>
      <c r="F19" s="4" t="s">
        <v>11</v>
      </c>
      <c r="G19" s="4">
        <v>0.1</v>
      </c>
      <c r="H19" s="4">
        <v>2</v>
      </c>
      <c r="I19" s="4" t="s">
        <v>14</v>
      </c>
      <c r="J19" s="5">
        <v>18</v>
      </c>
      <c r="K19" s="6">
        <v>18</v>
      </c>
      <c r="L19" t="str">
        <f t="shared" si="0"/>
        <v>2024.07.17_18</v>
      </c>
      <c r="M19" t="str">
        <f t="shared" si="1"/>
        <v>2024.07.17_18_0.1nM</v>
      </c>
    </row>
    <row r="20" spans="1:13" x14ac:dyDescent="0.2">
      <c r="A20" s="4">
        <v>19</v>
      </c>
      <c r="B20" s="4" t="s">
        <v>54</v>
      </c>
      <c r="C20" s="5" t="s">
        <v>10</v>
      </c>
      <c r="D20" s="5" t="s">
        <v>10</v>
      </c>
      <c r="E20" s="4">
        <v>1</v>
      </c>
      <c r="F20" s="4" t="s">
        <v>11</v>
      </c>
      <c r="G20" s="4">
        <v>0.1</v>
      </c>
      <c r="H20" s="4">
        <v>3</v>
      </c>
      <c r="I20" s="4" t="s">
        <v>16</v>
      </c>
      <c r="J20" s="5">
        <v>19</v>
      </c>
      <c r="K20" s="6">
        <v>19</v>
      </c>
      <c r="L20" t="str">
        <f t="shared" si="0"/>
        <v>2024.07.17_19</v>
      </c>
      <c r="M20" t="str">
        <f t="shared" si="1"/>
        <v>2024.07.17_19_0.1nM</v>
      </c>
    </row>
    <row r="21" spans="1:13" x14ac:dyDescent="0.2">
      <c r="A21" s="4">
        <v>20</v>
      </c>
      <c r="B21" s="4" t="s">
        <v>55</v>
      </c>
      <c r="C21" s="5" t="s">
        <v>10</v>
      </c>
      <c r="D21" s="5" t="s">
        <v>10</v>
      </c>
      <c r="E21" s="4">
        <v>1</v>
      </c>
      <c r="F21" s="4" t="s">
        <v>11</v>
      </c>
      <c r="G21" s="4">
        <v>0.1</v>
      </c>
      <c r="H21" s="4">
        <v>4</v>
      </c>
      <c r="I21" s="4" t="s">
        <v>18</v>
      </c>
      <c r="J21" s="5">
        <v>20</v>
      </c>
      <c r="K21" s="6">
        <v>20</v>
      </c>
      <c r="L21" t="str">
        <f t="shared" si="0"/>
        <v>2024.07.17_20</v>
      </c>
      <c r="M21" t="str">
        <f t="shared" si="1"/>
        <v>2024.07.17_20_0.1nM</v>
      </c>
    </row>
    <row r="22" spans="1:13" x14ac:dyDescent="0.2">
      <c r="A22" s="4">
        <v>21</v>
      </c>
      <c r="B22" s="4" t="s">
        <v>56</v>
      </c>
      <c r="C22" s="5" t="s">
        <v>10</v>
      </c>
      <c r="D22" s="5" t="s">
        <v>10</v>
      </c>
      <c r="E22" s="4">
        <v>1</v>
      </c>
      <c r="F22" s="4" t="s">
        <v>11</v>
      </c>
      <c r="G22" s="4">
        <v>0.03</v>
      </c>
      <c r="H22" s="4">
        <v>1</v>
      </c>
      <c r="I22" s="4" t="s">
        <v>12</v>
      </c>
      <c r="J22" s="5">
        <v>21</v>
      </c>
      <c r="K22" s="6">
        <v>21</v>
      </c>
      <c r="L22" t="str">
        <f t="shared" si="0"/>
        <v>2024.07.17_21</v>
      </c>
      <c r="M22" t="str">
        <f t="shared" si="1"/>
        <v>2024.07.17_21_0.03nM</v>
      </c>
    </row>
    <row r="23" spans="1:13" x14ac:dyDescent="0.2">
      <c r="A23" s="4">
        <v>22</v>
      </c>
      <c r="B23" s="4" t="s">
        <v>57</v>
      </c>
      <c r="C23" s="5" t="s">
        <v>10</v>
      </c>
      <c r="D23" s="5" t="s">
        <v>10</v>
      </c>
      <c r="E23" s="4">
        <v>1</v>
      </c>
      <c r="F23" s="4" t="s">
        <v>11</v>
      </c>
      <c r="G23" s="4">
        <v>0.03</v>
      </c>
      <c r="H23" s="4">
        <v>2</v>
      </c>
      <c r="I23" s="4" t="s">
        <v>14</v>
      </c>
      <c r="J23" s="5">
        <v>22</v>
      </c>
      <c r="K23" s="6">
        <v>22</v>
      </c>
      <c r="L23" t="str">
        <f t="shared" si="0"/>
        <v>2024.07.17_22</v>
      </c>
      <c r="M23" t="str">
        <f t="shared" si="1"/>
        <v>2024.07.17_22_0.03nM</v>
      </c>
    </row>
    <row r="24" spans="1:13" x14ac:dyDescent="0.2">
      <c r="A24" s="4">
        <v>23</v>
      </c>
      <c r="B24" s="4" t="s">
        <v>58</v>
      </c>
      <c r="C24" s="5" t="s">
        <v>10</v>
      </c>
      <c r="D24" s="5" t="s">
        <v>10</v>
      </c>
      <c r="E24" s="4">
        <v>1</v>
      </c>
      <c r="F24" s="4" t="s">
        <v>11</v>
      </c>
      <c r="G24" s="4">
        <v>0.03</v>
      </c>
      <c r="H24" s="4">
        <v>3</v>
      </c>
      <c r="I24" s="4" t="s">
        <v>16</v>
      </c>
      <c r="J24" s="5">
        <v>23</v>
      </c>
      <c r="K24" s="6">
        <v>23</v>
      </c>
      <c r="L24" t="str">
        <f t="shared" si="0"/>
        <v>2024.07.17_23</v>
      </c>
      <c r="M24" t="str">
        <f t="shared" si="1"/>
        <v>2024.07.17_23_0.03nM</v>
      </c>
    </row>
    <row r="25" spans="1:13" x14ac:dyDescent="0.2">
      <c r="A25" s="4">
        <v>24</v>
      </c>
      <c r="B25" s="4" t="s">
        <v>59</v>
      </c>
      <c r="C25" s="5" t="s">
        <v>10</v>
      </c>
      <c r="D25" s="5" t="s">
        <v>10</v>
      </c>
      <c r="E25" s="4">
        <v>1</v>
      </c>
      <c r="F25" s="4" t="s">
        <v>11</v>
      </c>
      <c r="G25" s="4">
        <v>0.03</v>
      </c>
      <c r="H25" s="4">
        <v>4</v>
      </c>
      <c r="I25" s="4" t="s">
        <v>18</v>
      </c>
      <c r="J25" s="5">
        <v>24</v>
      </c>
      <c r="K25" s="6">
        <v>24</v>
      </c>
      <c r="L25" t="str">
        <f t="shared" si="0"/>
        <v>2024.07.17_24</v>
      </c>
      <c r="M25" t="str">
        <f t="shared" si="1"/>
        <v>2024.07.17_24_0.03nM</v>
      </c>
    </row>
    <row r="26" spans="1:13" x14ac:dyDescent="0.2">
      <c r="A26" s="4">
        <v>25</v>
      </c>
      <c r="B26" s="4" t="s">
        <v>60</v>
      </c>
      <c r="C26" s="5" t="s">
        <v>10</v>
      </c>
      <c r="D26" s="5" t="s">
        <v>10</v>
      </c>
      <c r="E26" s="4">
        <v>1</v>
      </c>
      <c r="F26" s="4" t="s">
        <v>11</v>
      </c>
      <c r="G26" s="4">
        <v>0.01</v>
      </c>
      <c r="H26" s="4">
        <v>1</v>
      </c>
      <c r="I26" s="4" t="s">
        <v>12</v>
      </c>
      <c r="J26" s="5">
        <v>25</v>
      </c>
      <c r="K26" s="6">
        <v>25</v>
      </c>
      <c r="L26" t="str">
        <f t="shared" si="0"/>
        <v>2024.07.17_25</v>
      </c>
      <c r="M26" t="str">
        <f t="shared" si="1"/>
        <v>2024.07.17_25_0.01nM</v>
      </c>
    </row>
    <row r="27" spans="1:13" x14ac:dyDescent="0.2">
      <c r="A27" s="4">
        <v>26</v>
      </c>
      <c r="B27" s="4" t="s">
        <v>61</v>
      </c>
      <c r="C27" s="5" t="s">
        <v>10</v>
      </c>
      <c r="D27" s="5" t="s">
        <v>10</v>
      </c>
      <c r="E27" s="4">
        <v>1</v>
      </c>
      <c r="F27" s="4" t="s">
        <v>11</v>
      </c>
      <c r="G27" s="4">
        <v>0.01</v>
      </c>
      <c r="H27" s="4">
        <v>2</v>
      </c>
      <c r="I27" s="4" t="s">
        <v>14</v>
      </c>
      <c r="J27" s="5">
        <v>26</v>
      </c>
      <c r="K27" s="6">
        <v>26</v>
      </c>
      <c r="L27" t="str">
        <f t="shared" si="0"/>
        <v>2024.07.17_26</v>
      </c>
      <c r="M27" t="str">
        <f t="shared" si="1"/>
        <v>2024.07.17_26_0.01nM</v>
      </c>
    </row>
    <row r="28" spans="1:13" x14ac:dyDescent="0.2">
      <c r="A28" s="4">
        <v>27</v>
      </c>
      <c r="B28" s="4" t="s">
        <v>62</v>
      </c>
      <c r="C28" s="5" t="s">
        <v>10</v>
      </c>
      <c r="D28" s="5" t="s">
        <v>10</v>
      </c>
      <c r="E28" s="4">
        <v>1</v>
      </c>
      <c r="F28" s="4" t="s">
        <v>11</v>
      </c>
      <c r="G28" s="4">
        <v>0.01</v>
      </c>
      <c r="H28" s="4">
        <v>3</v>
      </c>
      <c r="I28" s="4" t="s">
        <v>16</v>
      </c>
      <c r="J28" s="5">
        <v>27</v>
      </c>
      <c r="K28" s="6">
        <v>27</v>
      </c>
      <c r="L28" t="str">
        <f t="shared" si="0"/>
        <v>2024.07.17_27</v>
      </c>
      <c r="M28" t="str">
        <f t="shared" si="1"/>
        <v>2024.07.17_27_0.01nM</v>
      </c>
    </row>
    <row r="29" spans="1:13" x14ac:dyDescent="0.2">
      <c r="A29" s="4">
        <v>28</v>
      </c>
      <c r="B29" s="4" t="s">
        <v>63</v>
      </c>
      <c r="C29" s="5" t="s">
        <v>10</v>
      </c>
      <c r="D29" s="5" t="s">
        <v>10</v>
      </c>
      <c r="E29" s="4">
        <v>1</v>
      </c>
      <c r="F29" s="4" t="s">
        <v>11</v>
      </c>
      <c r="G29" s="4">
        <v>0.01</v>
      </c>
      <c r="H29" s="4">
        <v>4</v>
      </c>
      <c r="I29" s="4" t="s">
        <v>18</v>
      </c>
      <c r="J29" s="5">
        <v>28</v>
      </c>
      <c r="K29" s="6">
        <v>28</v>
      </c>
      <c r="L29" t="str">
        <f t="shared" si="0"/>
        <v>2024.07.17_28</v>
      </c>
      <c r="M29" t="str">
        <f t="shared" si="1"/>
        <v>2024.07.17_28_0.01nM</v>
      </c>
    </row>
    <row r="30" spans="1:13" x14ac:dyDescent="0.2">
      <c r="A30" s="4">
        <v>29</v>
      </c>
      <c r="B30" s="4" t="s">
        <v>64</v>
      </c>
      <c r="C30" s="5" t="s">
        <v>10</v>
      </c>
      <c r="D30" s="5" t="s">
        <v>10</v>
      </c>
      <c r="E30" s="4">
        <v>1</v>
      </c>
      <c r="F30" s="4" t="s">
        <v>11</v>
      </c>
      <c r="G30" s="4">
        <v>3.0000000000000001E-3</v>
      </c>
      <c r="H30" s="4">
        <v>1</v>
      </c>
      <c r="I30" s="4" t="s">
        <v>12</v>
      </c>
      <c r="J30" s="5">
        <v>29</v>
      </c>
      <c r="K30" s="6">
        <v>29</v>
      </c>
      <c r="L30" t="str">
        <f t="shared" si="0"/>
        <v>2024.07.17_29</v>
      </c>
      <c r="M30" t="str">
        <f t="shared" si="1"/>
        <v>2024.07.17_29_0.003nM</v>
      </c>
    </row>
    <row r="31" spans="1:13" x14ac:dyDescent="0.2">
      <c r="A31" s="4">
        <v>30</v>
      </c>
      <c r="B31" s="4" t="s">
        <v>65</v>
      </c>
      <c r="C31" s="5" t="s">
        <v>10</v>
      </c>
      <c r="D31" s="5" t="s">
        <v>10</v>
      </c>
      <c r="E31" s="4">
        <v>1</v>
      </c>
      <c r="F31" s="4" t="s">
        <v>11</v>
      </c>
      <c r="G31" s="4">
        <v>3.0000000000000001E-3</v>
      </c>
      <c r="H31" s="4">
        <v>2</v>
      </c>
      <c r="I31" s="4" t="s">
        <v>14</v>
      </c>
      <c r="J31" s="5">
        <v>30</v>
      </c>
      <c r="K31" s="6">
        <v>30</v>
      </c>
      <c r="L31" t="str">
        <f t="shared" si="0"/>
        <v>2024.07.17_30</v>
      </c>
      <c r="M31" t="str">
        <f t="shared" si="1"/>
        <v>2024.07.17_30_0.003nM</v>
      </c>
    </row>
    <row r="32" spans="1:13" x14ac:dyDescent="0.2">
      <c r="A32" s="4">
        <v>31</v>
      </c>
      <c r="B32" s="4" t="s">
        <v>66</v>
      </c>
      <c r="C32" s="5" t="s">
        <v>10</v>
      </c>
      <c r="D32" s="5" t="s">
        <v>10</v>
      </c>
      <c r="E32" s="4">
        <v>1</v>
      </c>
      <c r="F32" s="4" t="s">
        <v>11</v>
      </c>
      <c r="G32" s="4">
        <v>3.0000000000000001E-3</v>
      </c>
      <c r="H32" s="4">
        <v>3</v>
      </c>
      <c r="I32" s="4" t="s">
        <v>16</v>
      </c>
      <c r="J32" s="5">
        <v>31</v>
      </c>
      <c r="K32" s="6">
        <v>31</v>
      </c>
      <c r="L32" t="str">
        <f t="shared" si="0"/>
        <v>2024.07.17_31</v>
      </c>
      <c r="M32" t="str">
        <f t="shared" si="1"/>
        <v>2024.07.17_31_0.003nM</v>
      </c>
    </row>
    <row r="33" spans="1:13" ht="52" customHeight="1" x14ac:dyDescent="0.2">
      <c r="A33" s="4">
        <v>32</v>
      </c>
      <c r="B33" s="4" t="s">
        <v>67</v>
      </c>
      <c r="C33" s="5" t="s">
        <v>10</v>
      </c>
      <c r="D33" s="5" t="s">
        <v>10</v>
      </c>
      <c r="E33" s="4">
        <v>1</v>
      </c>
      <c r="F33" s="4" t="s">
        <v>11</v>
      </c>
      <c r="G33" s="4">
        <v>3.0000000000000001E-3</v>
      </c>
      <c r="H33" s="4">
        <v>4</v>
      </c>
      <c r="I33" s="4" t="s">
        <v>18</v>
      </c>
      <c r="J33" s="5">
        <v>32</v>
      </c>
      <c r="K33" s="6">
        <v>32</v>
      </c>
      <c r="L33" t="str">
        <f t="shared" si="0"/>
        <v>2024.07.17_32</v>
      </c>
      <c r="M33" t="str">
        <f t="shared" si="1"/>
        <v>2024.07.17_32_0.003nM</v>
      </c>
    </row>
    <row r="34" spans="1:13" x14ac:dyDescent="0.2">
      <c r="A34" s="4" t="s">
        <v>13</v>
      </c>
      <c r="B34" s="4" t="s">
        <v>68</v>
      </c>
      <c r="C34" s="5" t="s">
        <v>10</v>
      </c>
      <c r="D34" s="5" t="s">
        <v>10</v>
      </c>
      <c r="E34" s="4">
        <v>1</v>
      </c>
      <c r="F34" s="4" t="s">
        <v>20</v>
      </c>
      <c r="G34" s="4">
        <v>30</v>
      </c>
      <c r="H34" s="4">
        <v>1</v>
      </c>
      <c r="I34" s="4" t="s">
        <v>12</v>
      </c>
      <c r="J34" s="5">
        <v>33</v>
      </c>
      <c r="K34" s="6" t="s">
        <v>13</v>
      </c>
      <c r="L34" t="str">
        <f t="shared" ref="L34:L65" si="2">CONCATENATE(D34,"_",A34)</f>
        <v>2024.07.17_A</v>
      </c>
      <c r="M34" t="str">
        <f>CONCATENATE(L34,"_",G34,"nM HAtag")</f>
        <v>2024.07.17_A_30nM HAtag</v>
      </c>
    </row>
    <row r="35" spans="1:13" x14ac:dyDescent="0.2">
      <c r="A35" s="4" t="s">
        <v>15</v>
      </c>
      <c r="B35" s="4" t="s">
        <v>69</v>
      </c>
      <c r="C35" s="5" t="s">
        <v>10</v>
      </c>
      <c r="D35" s="5" t="s">
        <v>10</v>
      </c>
      <c r="E35" s="4">
        <v>1</v>
      </c>
      <c r="F35" s="4" t="s">
        <v>20</v>
      </c>
      <c r="G35" s="4">
        <v>30</v>
      </c>
      <c r="H35" s="4">
        <v>2</v>
      </c>
      <c r="I35" s="4" t="s">
        <v>14</v>
      </c>
      <c r="J35" s="5">
        <v>34</v>
      </c>
      <c r="K35" s="6" t="s">
        <v>15</v>
      </c>
      <c r="L35" t="str">
        <f t="shared" si="2"/>
        <v>2024.07.17_B</v>
      </c>
      <c r="M35" t="str">
        <f>CONCATENATE(L35,"_",G35,"nM HAtag")</f>
        <v>2024.07.17_B_30nM HAtag</v>
      </c>
    </row>
    <row r="36" spans="1:13" x14ac:dyDescent="0.2">
      <c r="A36" s="4" t="s">
        <v>17</v>
      </c>
      <c r="B36" s="4" t="s">
        <v>70</v>
      </c>
      <c r="C36" s="5" t="s">
        <v>10</v>
      </c>
      <c r="D36" s="5" t="s">
        <v>10</v>
      </c>
      <c r="E36" s="4">
        <v>1</v>
      </c>
      <c r="F36" s="4" t="s">
        <v>20</v>
      </c>
      <c r="G36" s="4">
        <v>30</v>
      </c>
      <c r="H36" s="4">
        <v>3</v>
      </c>
      <c r="I36" s="4" t="s">
        <v>16</v>
      </c>
      <c r="J36" s="5">
        <v>35</v>
      </c>
      <c r="K36" s="6" t="s">
        <v>17</v>
      </c>
      <c r="L36" t="str">
        <f t="shared" si="2"/>
        <v>2024.07.17_C</v>
      </c>
      <c r="M36" t="str">
        <f>CONCATENATE(L36,"_",G36,"nM HAtag")</f>
        <v>2024.07.17_C_30nM HAtag</v>
      </c>
    </row>
    <row r="37" spans="1:13" ht="17" customHeight="1" x14ac:dyDescent="0.2">
      <c r="A37" s="4" t="s">
        <v>19</v>
      </c>
      <c r="B37" s="4" t="s">
        <v>71</v>
      </c>
      <c r="C37" s="5" t="s">
        <v>10</v>
      </c>
      <c r="D37" s="5" t="s">
        <v>10</v>
      </c>
      <c r="E37" s="4">
        <v>1</v>
      </c>
      <c r="F37" s="4" t="s">
        <v>20</v>
      </c>
      <c r="G37" s="4">
        <v>30</v>
      </c>
      <c r="H37" s="4">
        <v>4</v>
      </c>
      <c r="I37" s="4" t="s">
        <v>18</v>
      </c>
      <c r="J37" s="5">
        <v>36</v>
      </c>
      <c r="K37" s="6" t="s">
        <v>19</v>
      </c>
      <c r="L37" t="str">
        <f t="shared" si="2"/>
        <v>2024.07.17_D</v>
      </c>
      <c r="M37" t="str">
        <f>CONCATENATE(L37,"_",G37,"nM HAtag")</f>
        <v>2024.07.17_D_30nM HAtag</v>
      </c>
    </row>
    <row r="38" spans="1:13" x14ac:dyDescent="0.2">
      <c r="A38" s="4">
        <v>33</v>
      </c>
      <c r="B38" s="4" t="s">
        <v>72</v>
      </c>
      <c r="C38" s="5" t="s">
        <v>21</v>
      </c>
      <c r="D38" s="5" t="s">
        <v>21</v>
      </c>
      <c r="E38" s="4">
        <v>2</v>
      </c>
      <c r="F38" s="4" t="s">
        <v>11</v>
      </c>
      <c r="G38" s="4">
        <v>10</v>
      </c>
      <c r="H38" s="4">
        <v>1</v>
      </c>
      <c r="I38" s="4" t="s">
        <v>12</v>
      </c>
      <c r="J38" s="5">
        <v>37</v>
      </c>
      <c r="K38" s="6">
        <v>33</v>
      </c>
      <c r="L38" t="str">
        <f t="shared" si="2"/>
        <v>2024.07.22_33</v>
      </c>
      <c r="M38" t="str">
        <f t="shared" ref="M38:M65" si="3">CONCATENATE(L38,"_",G38,"nM")</f>
        <v>2024.07.22_33_10nM</v>
      </c>
    </row>
    <row r="39" spans="1:13" x14ac:dyDescent="0.2">
      <c r="A39" s="4">
        <v>34</v>
      </c>
      <c r="B39" s="4" t="s">
        <v>73</v>
      </c>
      <c r="C39" s="5" t="s">
        <v>21</v>
      </c>
      <c r="D39" s="5" t="s">
        <v>21</v>
      </c>
      <c r="E39" s="4">
        <v>2</v>
      </c>
      <c r="F39" s="4" t="s">
        <v>11</v>
      </c>
      <c r="G39" s="4">
        <v>10</v>
      </c>
      <c r="H39" s="4">
        <v>2</v>
      </c>
      <c r="I39" s="4" t="s">
        <v>14</v>
      </c>
      <c r="J39" s="5">
        <v>38</v>
      </c>
      <c r="K39" s="6">
        <v>34</v>
      </c>
      <c r="L39" t="str">
        <f t="shared" si="2"/>
        <v>2024.07.22_34</v>
      </c>
      <c r="M39" t="str">
        <f t="shared" si="3"/>
        <v>2024.07.22_34_10nM</v>
      </c>
    </row>
    <row r="40" spans="1:13" x14ac:dyDescent="0.2">
      <c r="A40" s="4">
        <v>35</v>
      </c>
      <c r="B40" s="4" t="s">
        <v>74</v>
      </c>
      <c r="C40" s="5" t="s">
        <v>21</v>
      </c>
      <c r="D40" s="5" t="s">
        <v>21</v>
      </c>
      <c r="E40" s="4">
        <v>2</v>
      </c>
      <c r="F40" s="4" t="s">
        <v>11</v>
      </c>
      <c r="G40" s="4">
        <v>10</v>
      </c>
      <c r="H40" s="4">
        <v>3</v>
      </c>
      <c r="I40" s="4" t="s">
        <v>16</v>
      </c>
      <c r="J40" s="5">
        <v>39</v>
      </c>
      <c r="K40" s="6">
        <v>35</v>
      </c>
      <c r="L40" t="str">
        <f t="shared" si="2"/>
        <v>2024.07.22_35</v>
      </c>
      <c r="M40" t="str">
        <f t="shared" si="3"/>
        <v>2024.07.22_35_10nM</v>
      </c>
    </row>
    <row r="41" spans="1:13" x14ac:dyDescent="0.2">
      <c r="A41" s="4">
        <v>36</v>
      </c>
      <c r="B41" s="4" t="s">
        <v>75</v>
      </c>
      <c r="C41" s="5" t="s">
        <v>21</v>
      </c>
      <c r="D41" s="5" t="s">
        <v>21</v>
      </c>
      <c r="E41" s="4">
        <v>2</v>
      </c>
      <c r="F41" s="4" t="s">
        <v>11</v>
      </c>
      <c r="G41" s="4">
        <v>10</v>
      </c>
      <c r="H41" s="4">
        <v>4</v>
      </c>
      <c r="I41" s="4" t="s">
        <v>18</v>
      </c>
      <c r="J41" s="5">
        <v>40</v>
      </c>
      <c r="K41" s="6">
        <v>36</v>
      </c>
      <c r="L41" t="str">
        <f t="shared" si="2"/>
        <v>2024.07.22_36</v>
      </c>
      <c r="M41" t="str">
        <f t="shared" si="3"/>
        <v>2024.07.22_36_10nM</v>
      </c>
    </row>
    <row r="42" spans="1:13" x14ac:dyDescent="0.2">
      <c r="A42" s="4">
        <v>37</v>
      </c>
      <c r="B42" s="4" t="s">
        <v>76</v>
      </c>
      <c r="C42" s="5" t="s">
        <v>21</v>
      </c>
      <c r="D42" s="5" t="s">
        <v>21</v>
      </c>
      <c r="E42" s="4">
        <v>2</v>
      </c>
      <c r="F42" s="4" t="s">
        <v>11</v>
      </c>
      <c r="G42" s="4">
        <v>3</v>
      </c>
      <c r="H42" s="4">
        <v>1</v>
      </c>
      <c r="I42" s="4" t="s">
        <v>12</v>
      </c>
      <c r="J42" s="5">
        <v>41</v>
      </c>
      <c r="K42" s="6">
        <v>37</v>
      </c>
      <c r="L42" t="str">
        <f t="shared" si="2"/>
        <v>2024.07.22_37</v>
      </c>
      <c r="M42" t="str">
        <f t="shared" si="3"/>
        <v>2024.07.22_37_3nM</v>
      </c>
    </row>
    <row r="43" spans="1:13" x14ac:dyDescent="0.2">
      <c r="A43" s="4">
        <v>38</v>
      </c>
      <c r="B43" s="4" t="s">
        <v>77</v>
      </c>
      <c r="C43" s="5" t="s">
        <v>21</v>
      </c>
      <c r="D43" s="5" t="s">
        <v>21</v>
      </c>
      <c r="E43" s="4">
        <v>2</v>
      </c>
      <c r="F43" s="4" t="s">
        <v>11</v>
      </c>
      <c r="G43" s="4">
        <v>3</v>
      </c>
      <c r="H43" s="4">
        <v>2</v>
      </c>
      <c r="I43" s="4" t="s">
        <v>14</v>
      </c>
      <c r="J43" s="5">
        <v>42</v>
      </c>
      <c r="K43" s="6">
        <v>38</v>
      </c>
      <c r="L43" t="str">
        <f t="shared" si="2"/>
        <v>2024.07.22_38</v>
      </c>
      <c r="M43" t="str">
        <f t="shared" si="3"/>
        <v>2024.07.22_38_3nM</v>
      </c>
    </row>
    <row r="44" spans="1:13" x14ac:dyDescent="0.2">
      <c r="A44" s="4">
        <v>39</v>
      </c>
      <c r="B44" s="4" t="s">
        <v>78</v>
      </c>
      <c r="C44" s="5" t="s">
        <v>21</v>
      </c>
      <c r="D44" s="5" t="s">
        <v>21</v>
      </c>
      <c r="E44" s="4">
        <v>2</v>
      </c>
      <c r="F44" s="4" t="s">
        <v>11</v>
      </c>
      <c r="G44" s="4">
        <v>3</v>
      </c>
      <c r="H44" s="4">
        <v>3</v>
      </c>
      <c r="I44" s="4" t="s">
        <v>16</v>
      </c>
      <c r="J44" s="5">
        <v>43</v>
      </c>
      <c r="K44" s="6">
        <v>39</v>
      </c>
      <c r="L44" t="str">
        <f t="shared" si="2"/>
        <v>2024.07.22_39</v>
      </c>
      <c r="M44" t="str">
        <f t="shared" si="3"/>
        <v>2024.07.22_39_3nM</v>
      </c>
    </row>
    <row r="45" spans="1:13" x14ac:dyDescent="0.2">
      <c r="A45" s="4">
        <v>40</v>
      </c>
      <c r="B45" s="4" t="s">
        <v>79</v>
      </c>
      <c r="C45" s="5" t="s">
        <v>21</v>
      </c>
      <c r="D45" s="5" t="s">
        <v>21</v>
      </c>
      <c r="E45" s="4">
        <v>2</v>
      </c>
      <c r="F45" s="4" t="s">
        <v>11</v>
      </c>
      <c r="G45" s="4">
        <v>3</v>
      </c>
      <c r="H45" s="4">
        <v>4</v>
      </c>
      <c r="I45" s="4" t="s">
        <v>18</v>
      </c>
      <c r="J45" s="5">
        <v>44</v>
      </c>
      <c r="K45" s="6">
        <v>40</v>
      </c>
      <c r="L45" t="str">
        <f t="shared" si="2"/>
        <v>2024.07.22_40</v>
      </c>
      <c r="M45" t="str">
        <f t="shared" si="3"/>
        <v>2024.07.22_40_3nM</v>
      </c>
    </row>
    <row r="46" spans="1:13" x14ac:dyDescent="0.2">
      <c r="A46" s="4">
        <v>41</v>
      </c>
      <c r="B46" s="4" t="s">
        <v>80</v>
      </c>
      <c r="C46" s="5" t="s">
        <v>21</v>
      </c>
      <c r="D46" s="5" t="s">
        <v>21</v>
      </c>
      <c r="E46" s="4">
        <v>2</v>
      </c>
      <c r="F46" s="4" t="s">
        <v>11</v>
      </c>
      <c r="G46" s="4">
        <v>1</v>
      </c>
      <c r="H46" s="4">
        <v>1</v>
      </c>
      <c r="I46" s="4" t="s">
        <v>12</v>
      </c>
      <c r="J46" s="5">
        <v>45</v>
      </c>
      <c r="K46" s="6">
        <v>41</v>
      </c>
      <c r="L46" t="str">
        <f t="shared" si="2"/>
        <v>2024.07.22_41</v>
      </c>
      <c r="M46" t="str">
        <f t="shared" si="3"/>
        <v>2024.07.22_41_1nM</v>
      </c>
    </row>
    <row r="47" spans="1:13" x14ac:dyDescent="0.2">
      <c r="A47" s="4">
        <v>42</v>
      </c>
      <c r="B47" s="4" t="s">
        <v>81</v>
      </c>
      <c r="C47" s="5" t="s">
        <v>21</v>
      </c>
      <c r="D47" s="5" t="s">
        <v>21</v>
      </c>
      <c r="E47" s="4">
        <v>2</v>
      </c>
      <c r="F47" s="4" t="s">
        <v>11</v>
      </c>
      <c r="G47" s="4">
        <v>1</v>
      </c>
      <c r="H47" s="4">
        <v>2</v>
      </c>
      <c r="I47" s="4" t="s">
        <v>14</v>
      </c>
      <c r="J47" s="5">
        <v>46</v>
      </c>
      <c r="K47" s="6">
        <v>42</v>
      </c>
      <c r="L47" t="str">
        <f t="shared" si="2"/>
        <v>2024.07.22_42</v>
      </c>
      <c r="M47" t="str">
        <f t="shared" si="3"/>
        <v>2024.07.22_42_1nM</v>
      </c>
    </row>
    <row r="48" spans="1:13" x14ac:dyDescent="0.2">
      <c r="A48" s="4">
        <v>43</v>
      </c>
      <c r="B48" s="4" t="s">
        <v>82</v>
      </c>
      <c r="C48" s="5" t="s">
        <v>21</v>
      </c>
      <c r="D48" s="5" t="s">
        <v>21</v>
      </c>
      <c r="E48" s="4">
        <v>2</v>
      </c>
      <c r="F48" s="4" t="s">
        <v>11</v>
      </c>
      <c r="G48" s="4">
        <v>1</v>
      </c>
      <c r="H48" s="4">
        <v>3</v>
      </c>
      <c r="I48" s="4" t="s">
        <v>16</v>
      </c>
      <c r="J48" s="5">
        <v>47</v>
      </c>
      <c r="K48" s="6">
        <v>43</v>
      </c>
      <c r="L48" t="str">
        <f t="shared" si="2"/>
        <v>2024.07.22_43</v>
      </c>
      <c r="M48" t="str">
        <f t="shared" si="3"/>
        <v>2024.07.22_43_1nM</v>
      </c>
    </row>
    <row r="49" spans="1:13" x14ac:dyDescent="0.2">
      <c r="A49" s="4">
        <v>44</v>
      </c>
      <c r="B49" s="4" t="s">
        <v>83</v>
      </c>
      <c r="C49" s="5" t="s">
        <v>21</v>
      </c>
      <c r="D49" s="5" t="s">
        <v>21</v>
      </c>
      <c r="E49" s="4">
        <v>2</v>
      </c>
      <c r="F49" s="4" t="s">
        <v>11</v>
      </c>
      <c r="G49" s="4">
        <v>1</v>
      </c>
      <c r="H49" s="4">
        <v>4</v>
      </c>
      <c r="I49" s="4" t="s">
        <v>18</v>
      </c>
      <c r="J49" s="5">
        <v>48</v>
      </c>
      <c r="K49" s="6">
        <v>44</v>
      </c>
      <c r="L49" t="str">
        <f t="shared" si="2"/>
        <v>2024.07.22_44</v>
      </c>
      <c r="M49" t="str">
        <f t="shared" si="3"/>
        <v>2024.07.22_44_1nM</v>
      </c>
    </row>
    <row r="50" spans="1:13" x14ac:dyDescent="0.2">
      <c r="A50" s="4">
        <v>45</v>
      </c>
      <c r="B50" s="4" t="s">
        <v>84</v>
      </c>
      <c r="C50" s="5" t="s">
        <v>21</v>
      </c>
      <c r="D50" s="5" t="s">
        <v>21</v>
      </c>
      <c r="E50" s="4">
        <v>2</v>
      </c>
      <c r="F50" s="4" t="s">
        <v>11</v>
      </c>
      <c r="G50" s="4">
        <v>0.3</v>
      </c>
      <c r="H50" s="4">
        <v>1</v>
      </c>
      <c r="I50" s="4" t="s">
        <v>12</v>
      </c>
      <c r="J50" s="5">
        <v>49</v>
      </c>
      <c r="K50" s="6">
        <v>45</v>
      </c>
      <c r="L50" t="str">
        <f t="shared" si="2"/>
        <v>2024.07.22_45</v>
      </c>
      <c r="M50" t="str">
        <f t="shared" si="3"/>
        <v>2024.07.22_45_0.3nM</v>
      </c>
    </row>
    <row r="51" spans="1:13" x14ac:dyDescent="0.2">
      <c r="A51" s="4">
        <v>46</v>
      </c>
      <c r="B51" s="4" t="s">
        <v>85</v>
      </c>
      <c r="C51" s="5" t="s">
        <v>21</v>
      </c>
      <c r="D51" s="5" t="s">
        <v>21</v>
      </c>
      <c r="E51" s="4">
        <v>2</v>
      </c>
      <c r="F51" s="4" t="s">
        <v>11</v>
      </c>
      <c r="G51" s="4">
        <v>0.3</v>
      </c>
      <c r="H51" s="4">
        <v>2</v>
      </c>
      <c r="I51" s="4" t="s">
        <v>14</v>
      </c>
      <c r="J51" s="5">
        <v>50</v>
      </c>
      <c r="K51" s="6">
        <v>46</v>
      </c>
      <c r="L51" t="str">
        <f t="shared" si="2"/>
        <v>2024.07.22_46</v>
      </c>
      <c r="M51" t="str">
        <f t="shared" si="3"/>
        <v>2024.07.22_46_0.3nM</v>
      </c>
    </row>
    <row r="52" spans="1:13" x14ac:dyDescent="0.2">
      <c r="A52" s="4">
        <v>47</v>
      </c>
      <c r="B52" s="4" t="s">
        <v>86</v>
      </c>
      <c r="C52" s="5" t="s">
        <v>21</v>
      </c>
      <c r="D52" s="5" t="s">
        <v>21</v>
      </c>
      <c r="E52" s="4">
        <v>2</v>
      </c>
      <c r="F52" s="4" t="s">
        <v>11</v>
      </c>
      <c r="G52" s="4">
        <v>0.3</v>
      </c>
      <c r="H52" s="4">
        <v>3</v>
      </c>
      <c r="I52" s="4" t="s">
        <v>16</v>
      </c>
      <c r="J52" s="5">
        <v>51</v>
      </c>
      <c r="K52" s="6">
        <v>47</v>
      </c>
      <c r="L52" t="str">
        <f t="shared" si="2"/>
        <v>2024.07.22_47</v>
      </c>
      <c r="M52" t="str">
        <f t="shared" si="3"/>
        <v>2024.07.22_47_0.3nM</v>
      </c>
    </row>
    <row r="53" spans="1:13" x14ac:dyDescent="0.2">
      <c r="A53" s="4">
        <v>48</v>
      </c>
      <c r="B53" s="4" t="s">
        <v>87</v>
      </c>
      <c r="C53" s="5" t="s">
        <v>21</v>
      </c>
      <c r="D53" s="5" t="s">
        <v>21</v>
      </c>
      <c r="E53" s="4">
        <v>2</v>
      </c>
      <c r="F53" s="4" t="s">
        <v>11</v>
      </c>
      <c r="G53" s="4">
        <v>0.3</v>
      </c>
      <c r="H53" s="4">
        <v>4</v>
      </c>
      <c r="I53" s="4" t="s">
        <v>18</v>
      </c>
      <c r="J53" s="5">
        <v>52</v>
      </c>
      <c r="K53" s="6">
        <v>48</v>
      </c>
      <c r="L53" t="str">
        <f t="shared" si="2"/>
        <v>2024.07.22_48</v>
      </c>
      <c r="M53" t="str">
        <f t="shared" si="3"/>
        <v>2024.07.22_48_0.3nM</v>
      </c>
    </row>
    <row r="54" spans="1:13" x14ac:dyDescent="0.2">
      <c r="A54" s="4">
        <v>49</v>
      </c>
      <c r="B54" s="4" t="s">
        <v>88</v>
      </c>
      <c r="C54" s="5" t="s">
        <v>21</v>
      </c>
      <c r="D54" s="5" t="s">
        <v>21</v>
      </c>
      <c r="E54" s="4">
        <v>2</v>
      </c>
      <c r="F54" s="4" t="s">
        <v>11</v>
      </c>
      <c r="G54" s="4">
        <v>0.1</v>
      </c>
      <c r="H54" s="4">
        <v>1</v>
      </c>
      <c r="I54" s="4" t="s">
        <v>12</v>
      </c>
      <c r="J54" s="5">
        <v>53</v>
      </c>
      <c r="K54" s="6">
        <v>49</v>
      </c>
      <c r="L54" t="str">
        <f t="shared" si="2"/>
        <v>2024.07.22_49</v>
      </c>
      <c r="M54" t="str">
        <f t="shared" si="3"/>
        <v>2024.07.22_49_0.1nM</v>
      </c>
    </row>
    <row r="55" spans="1:13" x14ac:dyDescent="0.2">
      <c r="A55" s="4">
        <v>50</v>
      </c>
      <c r="B55" s="4" t="s">
        <v>89</v>
      </c>
      <c r="C55" s="5" t="s">
        <v>21</v>
      </c>
      <c r="D55" s="5" t="s">
        <v>21</v>
      </c>
      <c r="E55" s="4">
        <v>2</v>
      </c>
      <c r="F55" s="4" t="s">
        <v>11</v>
      </c>
      <c r="G55" s="4">
        <v>0.1</v>
      </c>
      <c r="H55" s="4">
        <v>2</v>
      </c>
      <c r="I55" s="4" t="s">
        <v>14</v>
      </c>
      <c r="J55" s="5">
        <v>54</v>
      </c>
      <c r="K55" s="6">
        <v>50</v>
      </c>
      <c r="L55" t="str">
        <f t="shared" si="2"/>
        <v>2024.07.22_50</v>
      </c>
      <c r="M55" t="str">
        <f t="shared" si="3"/>
        <v>2024.07.22_50_0.1nM</v>
      </c>
    </row>
    <row r="56" spans="1:13" x14ac:dyDescent="0.2">
      <c r="A56" s="4">
        <v>51</v>
      </c>
      <c r="B56" s="4" t="s">
        <v>90</v>
      </c>
      <c r="C56" s="5" t="s">
        <v>21</v>
      </c>
      <c r="D56" s="5" t="s">
        <v>21</v>
      </c>
      <c r="E56" s="4">
        <v>2</v>
      </c>
      <c r="F56" s="4" t="s">
        <v>11</v>
      </c>
      <c r="G56" s="4">
        <v>0.1</v>
      </c>
      <c r="H56" s="4">
        <v>3</v>
      </c>
      <c r="I56" s="4" t="s">
        <v>16</v>
      </c>
      <c r="J56" s="5">
        <v>55</v>
      </c>
      <c r="K56" s="6">
        <v>51</v>
      </c>
      <c r="L56" t="str">
        <f t="shared" si="2"/>
        <v>2024.07.22_51</v>
      </c>
      <c r="M56" t="str">
        <f t="shared" si="3"/>
        <v>2024.07.22_51_0.1nM</v>
      </c>
    </row>
    <row r="57" spans="1:13" x14ac:dyDescent="0.2">
      <c r="A57" s="4">
        <v>52</v>
      </c>
      <c r="B57" s="4" t="s">
        <v>91</v>
      </c>
      <c r="C57" s="5" t="s">
        <v>21</v>
      </c>
      <c r="D57" s="5" t="s">
        <v>21</v>
      </c>
      <c r="E57" s="4">
        <v>2</v>
      </c>
      <c r="F57" s="4" t="s">
        <v>11</v>
      </c>
      <c r="G57" s="4">
        <v>0.1</v>
      </c>
      <c r="H57" s="4">
        <v>4</v>
      </c>
      <c r="I57" s="4" t="s">
        <v>18</v>
      </c>
      <c r="J57" s="5">
        <v>56</v>
      </c>
      <c r="K57" s="6">
        <v>52</v>
      </c>
      <c r="L57" t="str">
        <f t="shared" si="2"/>
        <v>2024.07.22_52</v>
      </c>
      <c r="M57" t="str">
        <f t="shared" si="3"/>
        <v>2024.07.22_52_0.1nM</v>
      </c>
    </row>
    <row r="58" spans="1:13" x14ac:dyDescent="0.2">
      <c r="A58" s="4">
        <v>53</v>
      </c>
      <c r="B58" s="4" t="s">
        <v>92</v>
      </c>
      <c r="C58" s="5" t="s">
        <v>21</v>
      </c>
      <c r="D58" s="5" t="s">
        <v>21</v>
      </c>
      <c r="E58" s="4">
        <v>2</v>
      </c>
      <c r="F58" s="4" t="s">
        <v>11</v>
      </c>
      <c r="G58" s="4">
        <v>0.03</v>
      </c>
      <c r="H58" s="4">
        <v>1</v>
      </c>
      <c r="I58" s="4" t="s">
        <v>12</v>
      </c>
      <c r="J58" s="5">
        <v>57</v>
      </c>
      <c r="K58" s="6">
        <v>53</v>
      </c>
      <c r="L58" t="str">
        <f t="shared" si="2"/>
        <v>2024.07.22_53</v>
      </c>
      <c r="M58" t="str">
        <f t="shared" si="3"/>
        <v>2024.07.22_53_0.03nM</v>
      </c>
    </row>
    <row r="59" spans="1:13" x14ac:dyDescent="0.2">
      <c r="A59" s="4">
        <v>54</v>
      </c>
      <c r="B59" s="4" t="s">
        <v>93</v>
      </c>
      <c r="C59" s="5" t="s">
        <v>21</v>
      </c>
      <c r="D59" s="5" t="s">
        <v>21</v>
      </c>
      <c r="E59" s="4">
        <v>2</v>
      </c>
      <c r="F59" s="4" t="s">
        <v>11</v>
      </c>
      <c r="G59" s="4">
        <v>0.03</v>
      </c>
      <c r="H59" s="4">
        <v>2</v>
      </c>
      <c r="I59" s="4" t="s">
        <v>14</v>
      </c>
      <c r="J59" s="5">
        <v>58</v>
      </c>
      <c r="K59" s="6">
        <v>54</v>
      </c>
      <c r="L59" t="str">
        <f t="shared" si="2"/>
        <v>2024.07.22_54</v>
      </c>
      <c r="M59" t="str">
        <f t="shared" si="3"/>
        <v>2024.07.22_54_0.03nM</v>
      </c>
    </row>
    <row r="60" spans="1:13" x14ac:dyDescent="0.2">
      <c r="A60" s="4">
        <v>55</v>
      </c>
      <c r="B60" s="4" t="s">
        <v>94</v>
      </c>
      <c r="C60" s="5" t="s">
        <v>21</v>
      </c>
      <c r="D60" s="5" t="s">
        <v>21</v>
      </c>
      <c r="E60" s="4">
        <v>2</v>
      </c>
      <c r="F60" s="4" t="s">
        <v>11</v>
      </c>
      <c r="G60" s="4">
        <v>0.03</v>
      </c>
      <c r="H60" s="4">
        <v>3</v>
      </c>
      <c r="I60" s="4" t="s">
        <v>16</v>
      </c>
      <c r="J60" s="5">
        <v>59</v>
      </c>
      <c r="K60" s="6">
        <v>55</v>
      </c>
      <c r="L60" t="str">
        <f t="shared" si="2"/>
        <v>2024.07.22_55</v>
      </c>
      <c r="M60" t="str">
        <f t="shared" si="3"/>
        <v>2024.07.22_55_0.03nM</v>
      </c>
    </row>
    <row r="61" spans="1:13" x14ac:dyDescent="0.2">
      <c r="A61" s="4">
        <v>56</v>
      </c>
      <c r="B61" s="4" t="s">
        <v>95</v>
      </c>
      <c r="C61" s="5" t="s">
        <v>21</v>
      </c>
      <c r="D61" s="5" t="s">
        <v>21</v>
      </c>
      <c r="E61" s="4">
        <v>2</v>
      </c>
      <c r="F61" s="4" t="s">
        <v>11</v>
      </c>
      <c r="G61" s="4">
        <v>0.03</v>
      </c>
      <c r="H61" s="4">
        <v>4</v>
      </c>
      <c r="I61" s="4" t="s">
        <v>18</v>
      </c>
      <c r="J61" s="5">
        <v>60</v>
      </c>
      <c r="K61" s="6">
        <v>56</v>
      </c>
      <c r="L61" t="str">
        <f t="shared" si="2"/>
        <v>2024.07.22_56</v>
      </c>
      <c r="M61" t="str">
        <f t="shared" si="3"/>
        <v>2024.07.22_56_0.03nM</v>
      </c>
    </row>
    <row r="62" spans="1:13" x14ac:dyDescent="0.2">
      <c r="A62" s="4">
        <v>57</v>
      </c>
      <c r="B62" s="4" t="s">
        <v>96</v>
      </c>
      <c r="C62" s="5" t="s">
        <v>21</v>
      </c>
      <c r="D62" s="5" t="s">
        <v>21</v>
      </c>
      <c r="E62" s="4">
        <v>2</v>
      </c>
      <c r="F62" s="4" t="s">
        <v>11</v>
      </c>
      <c r="G62" s="4">
        <v>0.01</v>
      </c>
      <c r="H62" s="4">
        <v>1</v>
      </c>
      <c r="I62" s="4" t="s">
        <v>12</v>
      </c>
      <c r="J62" s="5">
        <v>61</v>
      </c>
      <c r="K62" s="6">
        <v>57</v>
      </c>
      <c r="L62" t="str">
        <f t="shared" si="2"/>
        <v>2024.07.22_57</v>
      </c>
      <c r="M62" t="str">
        <f t="shared" si="3"/>
        <v>2024.07.22_57_0.01nM</v>
      </c>
    </row>
    <row r="63" spans="1:13" x14ac:dyDescent="0.2">
      <c r="A63" s="4">
        <v>58</v>
      </c>
      <c r="B63" s="4" t="s">
        <v>97</v>
      </c>
      <c r="C63" s="5" t="s">
        <v>21</v>
      </c>
      <c r="D63" s="5" t="s">
        <v>21</v>
      </c>
      <c r="E63" s="4">
        <v>2</v>
      </c>
      <c r="F63" s="4" t="s">
        <v>11</v>
      </c>
      <c r="G63" s="4">
        <v>0.01</v>
      </c>
      <c r="H63" s="4">
        <v>2</v>
      </c>
      <c r="I63" s="4" t="s">
        <v>14</v>
      </c>
      <c r="J63" s="5">
        <v>62</v>
      </c>
      <c r="K63" s="6">
        <v>58</v>
      </c>
      <c r="L63" t="str">
        <f t="shared" si="2"/>
        <v>2024.07.22_58</v>
      </c>
      <c r="M63" t="str">
        <f t="shared" si="3"/>
        <v>2024.07.22_58_0.01nM</v>
      </c>
    </row>
    <row r="64" spans="1:13" x14ac:dyDescent="0.2">
      <c r="A64" s="4">
        <v>59</v>
      </c>
      <c r="B64" s="4" t="s">
        <v>98</v>
      </c>
      <c r="C64" s="5" t="s">
        <v>21</v>
      </c>
      <c r="D64" s="5" t="s">
        <v>21</v>
      </c>
      <c r="E64" s="4">
        <v>2</v>
      </c>
      <c r="F64" s="4" t="s">
        <v>11</v>
      </c>
      <c r="G64" s="4">
        <v>0.01</v>
      </c>
      <c r="H64" s="4">
        <v>3</v>
      </c>
      <c r="I64" s="4" t="s">
        <v>16</v>
      </c>
      <c r="J64" s="5">
        <v>63</v>
      </c>
      <c r="K64" s="6">
        <v>59</v>
      </c>
      <c r="L64" t="str">
        <f t="shared" si="2"/>
        <v>2024.07.22_59</v>
      </c>
      <c r="M64" t="str">
        <f t="shared" si="3"/>
        <v>2024.07.22_59_0.01nM</v>
      </c>
    </row>
    <row r="65" spans="1:13" x14ac:dyDescent="0.2">
      <c r="A65" s="4">
        <v>60</v>
      </c>
      <c r="B65" s="4" t="s">
        <v>99</v>
      </c>
      <c r="C65" s="5" t="s">
        <v>21</v>
      </c>
      <c r="D65" s="5" t="s">
        <v>21</v>
      </c>
      <c r="E65" s="4">
        <v>2</v>
      </c>
      <c r="F65" s="4" t="s">
        <v>11</v>
      </c>
      <c r="G65" s="4">
        <v>0.01</v>
      </c>
      <c r="H65" s="4">
        <v>4</v>
      </c>
      <c r="I65" s="4" t="s">
        <v>18</v>
      </c>
      <c r="J65" s="5">
        <v>64</v>
      </c>
      <c r="K65" s="6">
        <v>60</v>
      </c>
      <c r="L65" t="str">
        <f t="shared" si="2"/>
        <v>2024.07.22_60</v>
      </c>
      <c r="M65" t="str">
        <f t="shared" si="3"/>
        <v>2024.07.22_60_0.01nM</v>
      </c>
    </row>
    <row r="66" spans="1:13" x14ac:dyDescent="0.2">
      <c r="A66" s="4">
        <v>61</v>
      </c>
      <c r="B66" s="4" t="s">
        <v>100</v>
      </c>
      <c r="C66" s="5" t="s">
        <v>21</v>
      </c>
      <c r="D66" s="5" t="s">
        <v>21</v>
      </c>
      <c r="E66" s="4">
        <v>2</v>
      </c>
      <c r="F66" s="4" t="s">
        <v>20</v>
      </c>
      <c r="G66" s="4">
        <v>30</v>
      </c>
      <c r="H66" s="4">
        <v>1</v>
      </c>
      <c r="I66" s="4" t="s">
        <v>12</v>
      </c>
      <c r="J66" s="5">
        <v>65</v>
      </c>
      <c r="K66" s="6">
        <v>61</v>
      </c>
      <c r="L66" t="str">
        <f t="shared" ref="L66:L75" si="4">CONCATENATE(D66,"_",A66)</f>
        <v>2024.07.22_61</v>
      </c>
      <c r="M66" t="str">
        <f>CONCATENATE(L66,"_",G66,"nM HAtag")</f>
        <v>2024.07.22_61_30nM HAtag</v>
      </c>
    </row>
    <row r="67" spans="1:13" x14ac:dyDescent="0.2">
      <c r="A67" s="4">
        <v>62</v>
      </c>
      <c r="B67" s="4" t="s">
        <v>101</v>
      </c>
      <c r="C67" s="5" t="s">
        <v>21</v>
      </c>
      <c r="D67" s="5" t="s">
        <v>21</v>
      </c>
      <c r="E67" s="4">
        <v>2</v>
      </c>
      <c r="F67" s="4" t="s">
        <v>20</v>
      </c>
      <c r="G67" s="4">
        <v>30</v>
      </c>
      <c r="H67" s="4">
        <v>2</v>
      </c>
      <c r="I67" s="4" t="s">
        <v>14</v>
      </c>
      <c r="J67" s="5">
        <v>66</v>
      </c>
      <c r="K67" s="6">
        <v>62</v>
      </c>
      <c r="L67" t="str">
        <f t="shared" si="4"/>
        <v>2024.07.22_62</v>
      </c>
      <c r="M67" t="str">
        <f>CONCATENATE(L67,"_",G67,"nM HAtag")</f>
        <v>2024.07.22_62_30nM HAtag</v>
      </c>
    </row>
    <row r="68" spans="1:13" x14ac:dyDescent="0.2">
      <c r="A68" s="4">
        <v>63</v>
      </c>
      <c r="B68" s="4" t="s">
        <v>102</v>
      </c>
      <c r="C68" s="5" t="s">
        <v>21</v>
      </c>
      <c r="D68" s="5" t="s">
        <v>21</v>
      </c>
      <c r="E68" s="4">
        <v>2</v>
      </c>
      <c r="F68" s="4" t="s">
        <v>20</v>
      </c>
      <c r="G68" s="4">
        <v>30</v>
      </c>
      <c r="H68" s="4">
        <v>3</v>
      </c>
      <c r="I68" s="4" t="s">
        <v>16</v>
      </c>
      <c r="J68" s="5">
        <v>67</v>
      </c>
      <c r="K68" s="6">
        <v>63</v>
      </c>
      <c r="L68" t="str">
        <f t="shared" si="4"/>
        <v>2024.07.22_63</v>
      </c>
      <c r="M68" t="str">
        <f>CONCATENATE(L68,"_",G68,"nM HAtag")</f>
        <v>2024.07.22_63_30nM HAtag</v>
      </c>
    </row>
    <row r="69" spans="1:13" x14ac:dyDescent="0.2">
      <c r="A69" s="4">
        <v>64</v>
      </c>
      <c r="B69" s="4" t="s">
        <v>103</v>
      </c>
      <c r="C69" s="5" t="s">
        <v>21</v>
      </c>
      <c r="D69" s="5" t="s">
        <v>21</v>
      </c>
      <c r="E69" s="4">
        <v>2</v>
      </c>
      <c r="F69" s="4" t="s">
        <v>20</v>
      </c>
      <c r="G69" s="4">
        <v>30</v>
      </c>
      <c r="H69" s="4">
        <v>4</v>
      </c>
      <c r="I69" s="4" t="s">
        <v>18</v>
      </c>
      <c r="J69" s="5">
        <v>68</v>
      </c>
      <c r="K69" s="6">
        <v>64</v>
      </c>
      <c r="L69" t="str">
        <f t="shared" si="4"/>
        <v>2024.07.22_64</v>
      </c>
      <c r="M69" t="str">
        <f>CONCATENATE(L69,"_",G69,"nM HAtag")</f>
        <v>2024.07.22_64_30nM HAtag</v>
      </c>
    </row>
    <row r="70" spans="1:13" x14ac:dyDescent="0.2">
      <c r="A70" s="4" t="s">
        <v>13</v>
      </c>
      <c r="B70" s="4" t="s">
        <v>104</v>
      </c>
      <c r="C70" s="5" t="s">
        <v>21</v>
      </c>
      <c r="D70" s="5" t="s">
        <v>21</v>
      </c>
      <c r="E70" s="4">
        <v>2</v>
      </c>
      <c r="F70" s="4" t="s">
        <v>11</v>
      </c>
      <c r="G70" s="4">
        <v>3.0000000000000001E-3</v>
      </c>
      <c r="H70" s="4">
        <v>1</v>
      </c>
      <c r="I70" s="4" t="s">
        <v>12</v>
      </c>
      <c r="J70" s="5">
        <v>69</v>
      </c>
      <c r="K70" s="6" t="s">
        <v>13</v>
      </c>
      <c r="L70" t="str">
        <f t="shared" si="4"/>
        <v>2024.07.22_A</v>
      </c>
      <c r="M70" t="str">
        <f t="shared" ref="M70:M75" si="5">CONCATENATE(L70,"_",G70,"nM")</f>
        <v>2024.07.22_A_0.003nM</v>
      </c>
    </row>
    <row r="71" spans="1:13" x14ac:dyDescent="0.2">
      <c r="A71" s="4" t="s">
        <v>15</v>
      </c>
      <c r="B71" s="4" t="s">
        <v>105</v>
      </c>
      <c r="C71" s="5" t="s">
        <v>21</v>
      </c>
      <c r="D71" s="5" t="s">
        <v>21</v>
      </c>
      <c r="E71" s="4">
        <v>2</v>
      </c>
      <c r="F71" s="4" t="s">
        <v>11</v>
      </c>
      <c r="G71" s="4">
        <v>3.0000000000000001E-3</v>
      </c>
      <c r="H71" s="4">
        <v>2</v>
      </c>
      <c r="I71" s="4" t="s">
        <v>14</v>
      </c>
      <c r="J71" s="5">
        <v>70</v>
      </c>
      <c r="K71" s="6" t="s">
        <v>15</v>
      </c>
      <c r="L71" t="str">
        <f t="shared" si="4"/>
        <v>2024.07.22_B</v>
      </c>
      <c r="M71" t="str">
        <f t="shared" si="5"/>
        <v>2024.07.22_B_0.003nM</v>
      </c>
    </row>
    <row r="72" spans="1:13" x14ac:dyDescent="0.2">
      <c r="A72" s="4" t="s">
        <v>17</v>
      </c>
      <c r="B72" s="4" t="s">
        <v>106</v>
      </c>
      <c r="C72" s="5" t="s">
        <v>21</v>
      </c>
      <c r="D72" s="5" t="s">
        <v>21</v>
      </c>
      <c r="E72" s="4">
        <v>2</v>
      </c>
      <c r="F72" s="4" t="s">
        <v>11</v>
      </c>
      <c r="G72" s="4">
        <v>3.0000000000000001E-3</v>
      </c>
      <c r="H72" s="4">
        <v>3</v>
      </c>
      <c r="I72" s="4" t="s">
        <v>16</v>
      </c>
      <c r="J72" s="5">
        <v>71</v>
      </c>
      <c r="K72" s="6" t="s">
        <v>17</v>
      </c>
      <c r="L72" t="str">
        <f t="shared" si="4"/>
        <v>2024.07.22_C</v>
      </c>
      <c r="M72" t="str">
        <f t="shared" si="5"/>
        <v>2024.07.22_C_0.003nM</v>
      </c>
    </row>
    <row r="73" spans="1:13" x14ac:dyDescent="0.2">
      <c r="A73" s="4" t="s">
        <v>19</v>
      </c>
      <c r="B73" s="4" t="s">
        <v>107</v>
      </c>
      <c r="C73" s="5" t="s">
        <v>21</v>
      </c>
      <c r="D73" s="5" t="s">
        <v>21</v>
      </c>
      <c r="E73" s="4">
        <v>2</v>
      </c>
      <c r="F73" s="4" t="s">
        <v>11</v>
      </c>
      <c r="G73" s="4">
        <v>3.0000000000000001E-3</v>
      </c>
      <c r="H73" s="4">
        <v>4</v>
      </c>
      <c r="I73" s="4" t="s">
        <v>18</v>
      </c>
      <c r="J73" s="5">
        <v>72</v>
      </c>
      <c r="K73" s="6" t="s">
        <v>19</v>
      </c>
      <c r="L73" t="str">
        <f t="shared" si="4"/>
        <v>2024.07.22_D</v>
      </c>
      <c r="M73" t="str">
        <f t="shared" si="5"/>
        <v>2024.07.22_D_0.003nM</v>
      </c>
    </row>
    <row r="74" spans="1:13" ht="17" thickBot="1" x14ac:dyDescent="0.25">
      <c r="A74" s="4" t="s">
        <v>29</v>
      </c>
      <c r="B74" s="5" t="s">
        <v>108</v>
      </c>
      <c r="C74" s="5" t="s">
        <v>21</v>
      </c>
      <c r="D74" s="5" t="s">
        <v>21</v>
      </c>
      <c r="E74" s="4">
        <v>1</v>
      </c>
      <c r="F74" s="4" t="s">
        <v>30</v>
      </c>
      <c r="G74" s="4" t="s">
        <v>30</v>
      </c>
      <c r="H74" s="4" t="s">
        <v>30</v>
      </c>
      <c r="I74" s="4"/>
      <c r="J74" s="5"/>
      <c r="K74" s="8" t="s">
        <v>31</v>
      </c>
      <c r="L74" t="str">
        <f t="shared" si="4"/>
        <v>2024.07.22_pre</v>
      </c>
      <c r="M74" t="str">
        <f t="shared" si="5"/>
        <v>2024.07.22_pre_NAnM</v>
      </c>
    </row>
    <row r="75" spans="1:13" ht="17" thickBot="1" x14ac:dyDescent="0.25">
      <c r="A75" s="4" t="s">
        <v>29</v>
      </c>
      <c r="B75" s="5" t="s">
        <v>109</v>
      </c>
      <c r="C75" s="5" t="s">
        <v>10</v>
      </c>
      <c r="D75" s="5" t="s">
        <v>10</v>
      </c>
      <c r="E75" s="4">
        <v>2</v>
      </c>
      <c r="F75" s="4" t="s">
        <v>30</v>
      </c>
      <c r="G75" s="4" t="s">
        <v>30</v>
      </c>
      <c r="H75" s="4" t="s">
        <v>30</v>
      </c>
      <c r="I75" s="4"/>
      <c r="J75" s="5"/>
      <c r="K75" s="8" t="s">
        <v>31</v>
      </c>
      <c r="L75" t="str">
        <f t="shared" si="4"/>
        <v>2024.07.17_pre</v>
      </c>
      <c r="M75" t="str">
        <f t="shared" si="5"/>
        <v>2024.07.17_pre_NAnM</v>
      </c>
    </row>
    <row r="76" spans="1:13" x14ac:dyDescent="0.2">
      <c r="A76" s="4"/>
      <c r="C76" s="4"/>
      <c r="D76" s="4"/>
      <c r="E76" s="4"/>
      <c r="F76" s="4"/>
      <c r="G76" s="4"/>
      <c r="H76" s="4"/>
      <c r="I76" s="4"/>
      <c r="J76" s="5"/>
      <c r="K76" s="9"/>
    </row>
    <row r="77" spans="1:13" x14ac:dyDescent="0.2">
      <c r="A77" s="4"/>
      <c r="C77" s="4"/>
      <c r="D77" s="4"/>
      <c r="E77" s="4"/>
      <c r="F77" s="4"/>
      <c r="G77" s="4"/>
      <c r="H77" s="4"/>
      <c r="I77" s="4"/>
      <c r="J77" s="5"/>
      <c r="K77" s="9"/>
    </row>
    <row r="78" spans="1:13" x14ac:dyDescent="0.2">
      <c r="A78" s="4"/>
      <c r="C78" s="4"/>
      <c r="D78" s="4"/>
      <c r="E78" s="4"/>
      <c r="F78" s="4"/>
      <c r="G78" s="4"/>
      <c r="H78" s="4"/>
      <c r="I78" s="4"/>
      <c r="J78" s="5"/>
      <c r="K78" s="9"/>
    </row>
    <row r="79" spans="1:13" x14ac:dyDescent="0.2">
      <c r="A79" s="4"/>
      <c r="C79" s="4"/>
      <c r="D79" s="4"/>
      <c r="E79" s="4"/>
      <c r="F79" s="4"/>
      <c r="G79" s="4"/>
      <c r="H79" s="4"/>
      <c r="I79" s="4"/>
      <c r="J79" s="5"/>
      <c r="K79" s="9"/>
    </row>
    <row r="80" spans="1:13" x14ac:dyDescent="0.2">
      <c r="A80" s="4"/>
      <c r="C80" s="4"/>
      <c r="D80" s="4"/>
      <c r="E80" s="4"/>
      <c r="F80" s="4"/>
      <c r="G80" s="4"/>
      <c r="H80" s="4"/>
      <c r="I80" s="4"/>
      <c r="J80" s="5"/>
      <c r="K80" s="9"/>
    </row>
    <row r="81" spans="1:11" x14ac:dyDescent="0.2">
      <c r="A81" s="4"/>
      <c r="C81" s="4"/>
      <c r="D81" s="4"/>
      <c r="E81" s="4"/>
      <c r="F81" s="4"/>
      <c r="G81" s="4"/>
      <c r="H81" s="4"/>
      <c r="I81" s="4"/>
      <c r="J81" s="5"/>
      <c r="K81" s="9"/>
    </row>
    <row r="82" spans="1:11" x14ac:dyDescent="0.2">
      <c r="A82" s="4"/>
      <c r="C82" s="4"/>
      <c r="D82" s="4"/>
      <c r="E82" s="4"/>
      <c r="F82" s="4"/>
      <c r="G82" s="4"/>
      <c r="H82" s="4"/>
      <c r="I82" s="4"/>
      <c r="J82" s="5"/>
      <c r="K82" s="9"/>
    </row>
    <row r="83" spans="1:11" x14ac:dyDescent="0.2">
      <c r="A83" s="4"/>
      <c r="C83" s="4"/>
      <c r="D83" s="4"/>
      <c r="E83" s="4"/>
      <c r="F83" s="4"/>
      <c r="G83" s="4"/>
      <c r="H83" s="4"/>
      <c r="I83" s="4"/>
      <c r="J83" s="5"/>
      <c r="K83" s="9"/>
    </row>
    <row r="84" spans="1:11" x14ac:dyDescent="0.2">
      <c r="A84" s="4"/>
      <c r="C84" s="4"/>
      <c r="D84" s="4"/>
      <c r="E84" s="4"/>
      <c r="F84" s="4"/>
      <c r="G84" s="4"/>
      <c r="H84" s="4"/>
      <c r="I84" s="4"/>
      <c r="J84" s="5"/>
      <c r="K84" s="9"/>
    </row>
    <row r="85" spans="1:11" x14ac:dyDescent="0.2">
      <c r="A85" s="4"/>
      <c r="C85" s="4"/>
      <c r="D85" s="4"/>
      <c r="E85" s="4"/>
      <c r="F85" s="4"/>
      <c r="G85" s="4"/>
      <c r="H85" s="4"/>
      <c r="I85" s="4"/>
      <c r="J85" s="5"/>
      <c r="K85" s="9"/>
    </row>
    <row r="86" spans="1:11" x14ac:dyDescent="0.2">
      <c r="A86" s="4"/>
      <c r="C86" s="4"/>
      <c r="D86" s="4"/>
      <c r="E86" s="4"/>
      <c r="F86" s="4"/>
      <c r="G86" s="4"/>
      <c r="H86" s="4"/>
      <c r="I86" s="4"/>
      <c r="J86" s="5"/>
      <c r="K86" s="9"/>
    </row>
    <row r="87" spans="1:11" x14ac:dyDescent="0.2">
      <c r="A87" s="4"/>
      <c r="C87" s="4"/>
      <c r="D87" s="4"/>
      <c r="E87" s="4"/>
      <c r="F87" s="4"/>
      <c r="G87" s="4"/>
      <c r="H87" s="4"/>
      <c r="I87" s="4"/>
      <c r="J87" s="5"/>
      <c r="K87" s="9"/>
    </row>
    <row r="88" spans="1:11" x14ac:dyDescent="0.2">
      <c r="A88" s="4"/>
      <c r="C88" s="4"/>
      <c r="D88" s="4"/>
      <c r="E88" s="4"/>
      <c r="F88" s="4"/>
      <c r="G88" s="4"/>
      <c r="H88" s="4"/>
      <c r="I88" s="4"/>
      <c r="J88" s="5"/>
      <c r="K88" s="9"/>
    </row>
    <row r="89" spans="1:11" x14ac:dyDescent="0.2">
      <c r="A89" s="4"/>
      <c r="C89" s="4"/>
      <c r="D89" s="4"/>
      <c r="E89" s="4"/>
      <c r="F89" s="4"/>
      <c r="G89" s="4"/>
      <c r="H89" s="4"/>
      <c r="I89" s="4"/>
      <c r="J89" s="5"/>
      <c r="K89" s="9"/>
    </row>
    <row r="90" spans="1:11" x14ac:dyDescent="0.2">
      <c r="A90" s="4"/>
      <c r="C90" s="4"/>
      <c r="D90" s="4"/>
      <c r="E90" s="4"/>
      <c r="F90" s="4"/>
      <c r="G90" s="4"/>
      <c r="H90" s="4"/>
      <c r="I90" s="4"/>
      <c r="J90" s="5"/>
      <c r="K90" s="9"/>
    </row>
    <row r="91" spans="1:11" x14ac:dyDescent="0.2">
      <c r="A91" s="4"/>
      <c r="C91" s="4"/>
      <c r="D91" s="4"/>
      <c r="E91" s="4"/>
      <c r="F91" s="4"/>
      <c r="G91" s="4"/>
      <c r="H91" s="4"/>
      <c r="I91" s="4"/>
      <c r="J91" s="5"/>
      <c r="K91" s="9"/>
    </row>
    <row r="92" spans="1:11" x14ac:dyDescent="0.2">
      <c r="A92" s="4"/>
      <c r="C92" s="4"/>
      <c r="D92" s="4"/>
      <c r="E92" s="4"/>
      <c r="F92" s="4"/>
      <c r="G92" s="4"/>
      <c r="H92" s="4"/>
      <c r="I92" s="4"/>
      <c r="J92" s="5"/>
      <c r="K92" s="9"/>
    </row>
    <row r="93" spans="1:11" ht="19" customHeight="1" x14ac:dyDescent="0.2">
      <c r="A93" s="4"/>
      <c r="C93" s="4"/>
      <c r="D93" s="4"/>
      <c r="E93" s="4"/>
      <c r="F93" s="4"/>
      <c r="G93" s="4"/>
      <c r="H93" s="4"/>
      <c r="I93" s="4"/>
      <c r="J93" s="5"/>
      <c r="K93" s="9"/>
    </row>
    <row r="94" spans="1:11" ht="19" customHeight="1" x14ac:dyDescent="0.2">
      <c r="A94" s="4"/>
      <c r="C94" s="4"/>
      <c r="D94" s="4"/>
      <c r="E94" s="4"/>
      <c r="F94" s="4"/>
      <c r="G94" s="4"/>
      <c r="H94" s="4"/>
      <c r="I94" s="4"/>
      <c r="J94" s="5"/>
      <c r="K94" s="9"/>
    </row>
    <row r="95" spans="1:11" ht="19" customHeight="1" x14ac:dyDescent="0.2">
      <c r="A95" s="4"/>
      <c r="C95" s="4"/>
      <c r="D95" s="4"/>
      <c r="E95" s="4"/>
      <c r="F95" s="4"/>
      <c r="G95" s="4"/>
      <c r="H95" s="4"/>
      <c r="I95" s="4"/>
      <c r="J95" s="5"/>
      <c r="K95" s="9"/>
    </row>
    <row r="96" spans="1:11" ht="19" customHeight="1" x14ac:dyDescent="0.2">
      <c r="A96" s="4"/>
      <c r="C96" s="4"/>
      <c r="D96" s="4"/>
      <c r="E96" s="4"/>
      <c r="F96" s="4"/>
      <c r="G96" s="4"/>
      <c r="H96" s="4"/>
      <c r="I96" s="4"/>
      <c r="J96" s="5"/>
      <c r="K96" s="9"/>
    </row>
    <row r="97" spans="1:11" ht="19" customHeight="1" x14ac:dyDescent="0.2">
      <c r="A97" s="4"/>
      <c r="C97" s="4"/>
      <c r="D97" s="4"/>
      <c r="E97" s="4"/>
      <c r="F97" s="4"/>
      <c r="G97" s="4"/>
      <c r="H97" s="4"/>
      <c r="I97" s="4"/>
      <c r="J97" s="5"/>
      <c r="K97" s="9"/>
    </row>
    <row r="98" spans="1:11" ht="19" customHeight="1" x14ac:dyDescent="0.2">
      <c r="A98" s="4"/>
      <c r="C98" s="4"/>
      <c r="D98" s="4"/>
      <c r="E98" s="4"/>
      <c r="F98" s="4"/>
      <c r="G98" s="4"/>
      <c r="H98" s="4"/>
      <c r="I98" s="4"/>
      <c r="J98" s="5"/>
      <c r="K98" s="9"/>
    </row>
    <row r="99" spans="1:11" ht="19" customHeight="1" x14ac:dyDescent="0.2">
      <c r="A99" s="4"/>
      <c r="C99" s="4"/>
      <c r="D99" s="4"/>
      <c r="E99" s="4"/>
      <c r="F99" s="4"/>
      <c r="G99" s="4"/>
      <c r="H99" s="4"/>
      <c r="I99" s="4"/>
      <c r="J99" s="5"/>
      <c r="K99" s="9"/>
    </row>
    <row r="100" spans="1:11" ht="19" customHeight="1" x14ac:dyDescent="0.2">
      <c r="A100" s="4"/>
      <c r="C100" s="4"/>
      <c r="D100" s="4"/>
      <c r="E100" s="4"/>
      <c r="F100" s="4"/>
      <c r="G100" s="4"/>
      <c r="H100" s="4"/>
      <c r="I100" s="4"/>
      <c r="J100" s="5"/>
      <c r="K100" s="9"/>
    </row>
    <row r="101" spans="1:11" ht="19" customHeight="1" x14ac:dyDescent="0.2">
      <c r="A101" s="4"/>
      <c r="C101" s="4"/>
      <c r="D101" s="4"/>
      <c r="E101" s="4"/>
      <c r="F101" s="4"/>
      <c r="G101" s="4"/>
      <c r="H101" s="4"/>
      <c r="I101" s="4"/>
      <c r="J101" s="5"/>
      <c r="K101" s="9"/>
    </row>
    <row r="102" spans="1:11" ht="19" customHeight="1" x14ac:dyDescent="0.2">
      <c r="A102" s="4"/>
      <c r="C102" s="4"/>
      <c r="D102" s="4"/>
      <c r="E102" s="4"/>
      <c r="F102" s="4"/>
      <c r="G102" s="4"/>
      <c r="H102" s="4"/>
      <c r="I102" s="4"/>
      <c r="J102" s="5"/>
      <c r="K102" s="9"/>
    </row>
    <row r="103" spans="1:11" ht="19" customHeight="1" thickBot="1" x14ac:dyDescent="0.25">
      <c r="A103" s="4"/>
      <c r="C103" s="4"/>
      <c r="D103" s="4"/>
      <c r="E103" s="4"/>
      <c r="F103" s="4"/>
      <c r="G103" s="4"/>
      <c r="H103" s="4"/>
      <c r="I103" s="4"/>
      <c r="J103" s="5"/>
      <c r="K103" s="10"/>
    </row>
    <row r="104" spans="1:11" ht="19" customHeight="1" x14ac:dyDescent="0.2">
      <c r="A104" s="4"/>
      <c r="C104" s="4"/>
      <c r="D104" s="4"/>
      <c r="E104" s="4"/>
      <c r="F104" s="4"/>
      <c r="G104" s="4"/>
      <c r="H104" s="4"/>
      <c r="I104" s="4"/>
      <c r="J104" s="5"/>
      <c r="K104" s="11"/>
    </row>
    <row r="105" spans="1:11" x14ac:dyDescent="0.2">
      <c r="A105" s="4"/>
      <c r="C105" s="4"/>
      <c r="D105" s="4"/>
      <c r="E105" s="4"/>
      <c r="F105" s="4"/>
      <c r="G105" s="4"/>
      <c r="H105" s="4"/>
      <c r="I105" s="4"/>
      <c r="J105" s="5"/>
      <c r="K105" s="12"/>
    </row>
    <row r="106" spans="1:11" x14ac:dyDescent="0.2">
      <c r="A106" s="4"/>
      <c r="C106" s="4"/>
      <c r="D106" s="4"/>
      <c r="E106" s="4"/>
      <c r="F106" s="4"/>
      <c r="G106" s="4"/>
      <c r="H106" s="4"/>
      <c r="I106" s="4"/>
      <c r="J106" s="5"/>
      <c r="K106" s="12"/>
    </row>
    <row r="107" spans="1:11" x14ac:dyDescent="0.2">
      <c r="A107" s="4"/>
      <c r="C107" s="4"/>
      <c r="D107" s="4"/>
      <c r="E107" s="4"/>
      <c r="F107" s="4"/>
      <c r="G107" s="4"/>
      <c r="H107" s="4"/>
      <c r="I107" s="4"/>
      <c r="J107" s="5"/>
      <c r="K107" s="12"/>
    </row>
    <row r="108" spans="1:11" ht="17" thickBot="1" x14ac:dyDescent="0.25">
      <c r="A108" s="4"/>
      <c r="C108" s="4"/>
      <c r="D108" s="4"/>
      <c r="E108" s="4"/>
      <c r="F108" s="4"/>
      <c r="G108" s="4"/>
      <c r="H108" s="4"/>
      <c r="I108" s="4"/>
      <c r="J108" s="5"/>
      <c r="K108" s="8"/>
    </row>
    <row r="109" spans="1:11" x14ac:dyDescent="0.2">
      <c r="A109" s="4"/>
      <c r="C109" s="4"/>
      <c r="D109" s="4"/>
      <c r="E109" s="4"/>
      <c r="F109" s="4"/>
      <c r="G109" s="4"/>
      <c r="H109" s="4"/>
      <c r="I109" s="4"/>
      <c r="J109" s="5"/>
      <c r="K109" s="13"/>
    </row>
    <row r="110" spans="1:11" x14ac:dyDescent="0.2">
      <c r="A110" s="4"/>
      <c r="C110" s="4"/>
      <c r="D110" s="4"/>
      <c r="E110" s="4"/>
      <c r="F110" s="4"/>
      <c r="G110" s="4"/>
      <c r="H110" s="4"/>
      <c r="I110" s="4"/>
      <c r="J110" s="5"/>
      <c r="K110" s="9"/>
    </row>
    <row r="111" spans="1:11" x14ac:dyDescent="0.2">
      <c r="A111" s="4"/>
      <c r="C111" s="4"/>
      <c r="D111" s="4"/>
      <c r="E111" s="4"/>
      <c r="F111" s="4"/>
      <c r="G111" s="4"/>
      <c r="H111" s="4"/>
      <c r="I111" s="4"/>
      <c r="J111" s="5"/>
      <c r="K111" s="9"/>
    </row>
    <row r="112" spans="1:11" x14ac:dyDescent="0.2">
      <c r="A112" s="4"/>
      <c r="C112" s="4"/>
      <c r="D112" s="4"/>
      <c r="E112" s="4"/>
      <c r="F112" s="4"/>
      <c r="G112" s="4"/>
      <c r="H112" s="4"/>
      <c r="I112" s="4"/>
      <c r="J112" s="5"/>
      <c r="K112" s="9"/>
    </row>
    <row r="113" spans="1:13" s="17" customFormat="1" x14ac:dyDescent="0.2">
      <c r="A113" s="16"/>
      <c r="B113"/>
      <c r="C113" s="16"/>
      <c r="D113" s="16"/>
      <c r="E113" s="16"/>
      <c r="F113" s="16"/>
      <c r="G113" s="16"/>
      <c r="H113" s="16"/>
      <c r="I113" s="16"/>
      <c r="J113" s="16"/>
      <c r="K113" s="16"/>
      <c r="M113"/>
    </row>
    <row r="114" spans="1:13" s="17" customFormat="1" x14ac:dyDescent="0.2">
      <c r="A114" s="16"/>
      <c r="B114"/>
      <c r="C114" s="16"/>
      <c r="D114" s="16"/>
      <c r="E114" s="16"/>
      <c r="F114" s="16"/>
      <c r="G114" s="16"/>
      <c r="H114" s="16"/>
      <c r="I114" s="16"/>
      <c r="J114" s="16"/>
      <c r="K114" s="16"/>
      <c r="M114"/>
    </row>
    <row r="115" spans="1:13" s="17" customFormat="1" x14ac:dyDescent="0.2">
      <c r="A115" s="16"/>
      <c r="B115"/>
      <c r="C115" s="16"/>
      <c r="D115" s="16"/>
      <c r="E115" s="16"/>
      <c r="F115" s="16"/>
      <c r="G115" s="16"/>
      <c r="H115" s="16"/>
      <c r="I115" s="16"/>
      <c r="J115" s="16"/>
      <c r="K115" s="16"/>
      <c r="M115"/>
    </row>
    <row r="116" spans="1:13" s="17" customFormat="1" x14ac:dyDescent="0.2">
      <c r="A116" s="16"/>
      <c r="B116"/>
      <c r="C116" s="16"/>
      <c r="D116" s="16"/>
      <c r="E116" s="16"/>
      <c r="F116" s="16"/>
      <c r="G116" s="16"/>
      <c r="H116" s="16"/>
      <c r="I116" s="16"/>
      <c r="J116" s="16"/>
      <c r="K116" s="16"/>
      <c r="M116"/>
    </row>
    <row r="117" spans="1:13" s="17" customFormat="1" x14ac:dyDescent="0.2">
      <c r="A117" s="16"/>
      <c r="B117"/>
      <c r="C117" s="16"/>
      <c r="D117" s="16"/>
      <c r="E117" s="16"/>
      <c r="F117" s="16"/>
      <c r="G117" s="16"/>
      <c r="H117" s="16"/>
      <c r="I117" s="16"/>
      <c r="J117" s="16"/>
      <c r="K117" s="16"/>
      <c r="M117"/>
    </row>
    <row r="118" spans="1:13" s="17" customFormat="1" x14ac:dyDescent="0.2">
      <c r="A118" s="16"/>
      <c r="B118"/>
      <c r="C118" s="16"/>
      <c r="D118" s="16"/>
      <c r="E118" s="16"/>
      <c r="F118" s="16"/>
      <c r="G118" s="16"/>
      <c r="H118" s="16"/>
      <c r="I118" s="16"/>
      <c r="J118" s="16"/>
      <c r="K118" s="16"/>
      <c r="M118"/>
    </row>
    <row r="119" spans="1:13" s="17" customFormat="1" x14ac:dyDescent="0.2">
      <c r="A119" s="16"/>
      <c r="B119"/>
      <c r="C119" s="16"/>
      <c r="D119" s="16"/>
      <c r="E119" s="16"/>
      <c r="F119" s="16"/>
      <c r="G119" s="16"/>
      <c r="H119" s="16"/>
      <c r="I119" s="16"/>
      <c r="J119" s="16"/>
      <c r="K119" s="16"/>
      <c r="M119"/>
    </row>
    <row r="120" spans="1:13" s="17" customFormat="1" x14ac:dyDescent="0.2">
      <c r="A120" s="16"/>
      <c r="B120"/>
      <c r="C120" s="16"/>
      <c r="D120" s="16"/>
      <c r="E120" s="16"/>
      <c r="F120" s="16"/>
      <c r="G120" s="16"/>
      <c r="H120" s="16"/>
      <c r="I120" s="16"/>
      <c r="J120" s="16"/>
      <c r="K120" s="16"/>
      <c r="M120"/>
    </row>
    <row r="121" spans="1:13" s="17" customFormat="1" x14ac:dyDescent="0.2">
      <c r="A121" s="16"/>
      <c r="B121"/>
      <c r="C121" s="16"/>
      <c r="D121" s="16"/>
      <c r="E121" s="16"/>
      <c r="F121" s="16"/>
      <c r="G121" s="16"/>
      <c r="H121" s="16"/>
      <c r="I121" s="16"/>
      <c r="J121" s="16"/>
      <c r="K121" s="16"/>
      <c r="M121"/>
    </row>
    <row r="122" spans="1:13" s="17" customFormat="1" x14ac:dyDescent="0.2">
      <c r="A122" s="16"/>
      <c r="B122"/>
      <c r="C122" s="16"/>
      <c r="D122" s="16"/>
      <c r="E122" s="16"/>
      <c r="F122" s="16"/>
      <c r="G122" s="16"/>
      <c r="H122" s="16"/>
      <c r="I122" s="16"/>
      <c r="J122" s="16"/>
      <c r="K122" s="16"/>
      <c r="M122"/>
    </row>
    <row r="123" spans="1:13" s="17" customFormat="1" x14ac:dyDescent="0.2">
      <c r="A123" s="16"/>
      <c r="B123"/>
      <c r="C123" s="16"/>
      <c r="D123" s="16"/>
      <c r="E123" s="16"/>
      <c r="F123" s="16"/>
      <c r="G123" s="16"/>
      <c r="H123" s="16"/>
      <c r="I123" s="16"/>
      <c r="J123" s="16"/>
      <c r="K123" s="16"/>
      <c r="M123"/>
    </row>
    <row r="124" spans="1:13" s="17" customFormat="1" x14ac:dyDescent="0.2">
      <c r="A124" s="16"/>
      <c r="B124"/>
      <c r="C124" s="16"/>
      <c r="D124" s="16"/>
      <c r="E124" s="16"/>
      <c r="F124" s="16"/>
      <c r="G124" s="16"/>
      <c r="H124" s="16"/>
      <c r="I124" s="16"/>
      <c r="J124" s="16"/>
      <c r="K124" s="16"/>
      <c r="M124"/>
    </row>
    <row r="125" spans="1:13" s="17" customFormat="1" x14ac:dyDescent="0.2">
      <c r="A125" s="16"/>
      <c r="B125"/>
      <c r="C125" s="16"/>
      <c r="D125" s="16"/>
      <c r="E125" s="16"/>
      <c r="F125" s="16"/>
      <c r="G125" s="16"/>
      <c r="H125" s="16"/>
      <c r="I125" s="16"/>
      <c r="J125" s="16"/>
      <c r="K125" s="16"/>
      <c r="M125"/>
    </row>
    <row r="126" spans="1:13" s="17" customFormat="1" x14ac:dyDescent="0.2">
      <c r="A126" s="16"/>
      <c r="B126"/>
      <c r="C126" s="16"/>
      <c r="D126" s="16"/>
      <c r="E126" s="16"/>
      <c r="F126" s="16"/>
      <c r="G126" s="16"/>
      <c r="H126" s="16"/>
      <c r="I126" s="16"/>
      <c r="J126" s="16"/>
      <c r="K126" s="16"/>
      <c r="M126"/>
    </row>
    <row r="127" spans="1:13" s="17" customFormat="1" x14ac:dyDescent="0.2">
      <c r="A127" s="16"/>
      <c r="B127"/>
      <c r="C127" s="16"/>
      <c r="D127" s="16"/>
      <c r="E127" s="16"/>
      <c r="F127" s="16"/>
      <c r="G127" s="16"/>
      <c r="H127" s="16"/>
      <c r="I127" s="16"/>
      <c r="J127" s="16"/>
      <c r="K127" s="16"/>
      <c r="M127"/>
    </row>
    <row r="128" spans="1:13" s="17" customFormat="1" x14ac:dyDescent="0.2">
      <c r="A128" s="16"/>
      <c r="B128"/>
      <c r="C128" s="16"/>
      <c r="D128" s="16"/>
      <c r="E128" s="16"/>
      <c r="F128" s="16"/>
      <c r="G128" s="16"/>
      <c r="H128" s="16"/>
      <c r="I128" s="16"/>
      <c r="J128" s="16"/>
      <c r="K128" s="16"/>
      <c r="M128"/>
    </row>
    <row r="129" spans="1:13" s="17" customFormat="1" x14ac:dyDescent="0.2">
      <c r="A129" s="16"/>
      <c r="B129"/>
      <c r="C129" s="16"/>
      <c r="D129" s="16"/>
      <c r="E129" s="16"/>
      <c r="F129" s="16"/>
      <c r="G129" s="16"/>
      <c r="H129" s="16"/>
      <c r="I129" s="16"/>
      <c r="J129" s="16"/>
      <c r="K129" s="16"/>
      <c r="M129"/>
    </row>
    <row r="130" spans="1:13" s="17" customFormat="1" x14ac:dyDescent="0.2">
      <c r="A130" s="16"/>
      <c r="B130"/>
      <c r="C130" s="16"/>
      <c r="D130" s="16"/>
      <c r="E130" s="16"/>
      <c r="F130" s="16"/>
      <c r="G130" s="16"/>
      <c r="H130" s="16"/>
      <c r="I130" s="16"/>
      <c r="J130" s="16"/>
      <c r="K130" s="16"/>
      <c r="M130"/>
    </row>
    <row r="131" spans="1:13" s="17" customFormat="1" x14ac:dyDescent="0.2">
      <c r="A131" s="16"/>
      <c r="B131"/>
      <c r="C131" s="16"/>
      <c r="D131" s="16"/>
      <c r="E131" s="16"/>
      <c r="F131" s="16"/>
      <c r="G131" s="16"/>
      <c r="H131" s="16"/>
      <c r="I131" s="16"/>
      <c r="J131" s="16"/>
      <c r="K131" s="16"/>
      <c r="M131"/>
    </row>
    <row r="132" spans="1:13" s="17" customFormat="1" x14ac:dyDescent="0.2">
      <c r="A132" s="16"/>
      <c r="B132"/>
      <c r="C132" s="16"/>
      <c r="D132" s="16"/>
      <c r="E132" s="16"/>
      <c r="F132" s="16"/>
      <c r="G132" s="16"/>
      <c r="H132" s="16"/>
      <c r="I132" s="16"/>
      <c r="J132" s="16"/>
      <c r="K132" s="16"/>
      <c r="M132"/>
    </row>
    <row r="133" spans="1:13" s="17" customFormat="1" x14ac:dyDescent="0.2">
      <c r="A133" s="16"/>
      <c r="B133"/>
      <c r="C133" s="16"/>
      <c r="D133" s="16"/>
      <c r="E133" s="16"/>
      <c r="F133" s="16"/>
      <c r="G133" s="16"/>
      <c r="H133" s="16"/>
      <c r="I133" s="16"/>
      <c r="J133" s="16"/>
      <c r="K133" s="16"/>
      <c r="M133"/>
    </row>
    <row r="134" spans="1:13" s="17" customFormat="1" x14ac:dyDescent="0.2">
      <c r="A134" s="16"/>
      <c r="B134"/>
      <c r="C134" s="16"/>
      <c r="D134" s="16"/>
      <c r="E134" s="16"/>
      <c r="F134" s="16"/>
      <c r="G134" s="16"/>
      <c r="H134" s="16"/>
      <c r="I134" s="16"/>
      <c r="J134" s="16"/>
      <c r="K134" s="16"/>
      <c r="M134"/>
    </row>
    <row r="135" spans="1:13" s="17" customFormat="1" x14ac:dyDescent="0.2">
      <c r="A135" s="16"/>
      <c r="B135"/>
      <c r="C135" s="16"/>
      <c r="D135" s="16"/>
      <c r="E135" s="16"/>
      <c r="F135" s="16"/>
      <c r="G135" s="16"/>
      <c r="H135" s="16"/>
      <c r="I135" s="16"/>
      <c r="J135" s="16"/>
      <c r="K135" s="16"/>
      <c r="M135"/>
    </row>
    <row r="136" spans="1:13" s="17" customFormat="1" x14ac:dyDescent="0.2">
      <c r="A136" s="16"/>
      <c r="B136"/>
      <c r="C136" s="16"/>
      <c r="D136" s="16"/>
      <c r="E136" s="16"/>
      <c r="F136" s="16"/>
      <c r="G136" s="16"/>
      <c r="H136" s="16"/>
      <c r="I136" s="16"/>
      <c r="J136" s="16"/>
      <c r="K136" s="16"/>
      <c r="M136"/>
    </row>
    <row r="137" spans="1:13" x14ac:dyDescent="0.2">
      <c r="A137" s="4"/>
      <c r="C137" s="4"/>
      <c r="D137" s="4"/>
      <c r="E137" s="4"/>
      <c r="F137" s="4"/>
      <c r="G137" s="4"/>
      <c r="H137" s="4"/>
      <c r="I137" s="4"/>
      <c r="J137" s="5"/>
      <c r="K137" s="9"/>
    </row>
    <row r="138" spans="1:13" x14ac:dyDescent="0.2">
      <c r="A138" s="4"/>
      <c r="C138" s="4"/>
      <c r="D138" s="4"/>
      <c r="E138" s="4"/>
      <c r="F138" s="4"/>
      <c r="G138" s="4"/>
      <c r="H138" s="4"/>
      <c r="I138" s="4"/>
      <c r="J138" s="5"/>
      <c r="K138" s="9"/>
    </row>
    <row r="139" spans="1:13" x14ac:dyDescent="0.2">
      <c r="A139" s="4"/>
      <c r="C139" s="4"/>
      <c r="D139" s="4"/>
      <c r="E139" s="4"/>
      <c r="F139" s="4"/>
      <c r="G139" s="4"/>
      <c r="H139" s="4"/>
      <c r="I139" s="4"/>
      <c r="J139" s="5"/>
      <c r="K139" s="9"/>
    </row>
    <row r="140" spans="1:13" x14ac:dyDescent="0.2">
      <c r="A140" s="4"/>
      <c r="C140" s="4"/>
      <c r="D140" s="4"/>
      <c r="E140" s="4"/>
      <c r="F140" s="4"/>
      <c r="G140" s="4"/>
      <c r="H140" s="4"/>
      <c r="I140" s="4"/>
      <c r="J140" s="5"/>
      <c r="K140" s="9"/>
    </row>
    <row r="141" spans="1:13" x14ac:dyDescent="0.2">
      <c r="A141" s="4"/>
      <c r="C141" s="4"/>
      <c r="D141" s="4"/>
      <c r="E141" s="4"/>
      <c r="F141" s="4"/>
      <c r="G141" s="4"/>
      <c r="H141" s="4"/>
      <c r="I141" s="4"/>
      <c r="J141" s="5"/>
      <c r="K141" s="9"/>
    </row>
    <row r="142" spans="1:13" x14ac:dyDescent="0.2">
      <c r="A142" s="4"/>
      <c r="C142" s="4"/>
      <c r="D142" s="4"/>
      <c r="E142" s="4"/>
      <c r="F142" s="4"/>
      <c r="G142" s="4"/>
      <c r="H142" s="4"/>
      <c r="I142" s="4"/>
      <c r="J142" s="5"/>
      <c r="K142" s="9"/>
    </row>
    <row r="143" spans="1:13" x14ac:dyDescent="0.2">
      <c r="A143" s="4"/>
      <c r="C143" s="4"/>
      <c r="D143" s="4"/>
      <c r="E143" s="4"/>
      <c r="F143" s="4"/>
      <c r="G143" s="4"/>
      <c r="H143" s="4"/>
      <c r="I143" s="4"/>
      <c r="J143" s="5"/>
      <c r="K143" s="9"/>
    </row>
    <row r="144" spans="1:13" ht="17" thickBot="1" x14ac:dyDescent="0.25">
      <c r="A144" s="4"/>
      <c r="C144" s="4"/>
      <c r="D144" s="4"/>
      <c r="E144" s="4"/>
      <c r="F144" s="4"/>
      <c r="G144" s="4"/>
      <c r="H144" s="4"/>
      <c r="I144" s="4"/>
      <c r="J144" s="5"/>
      <c r="K144" s="10"/>
    </row>
    <row r="145" spans="1:11" x14ac:dyDescent="0.2">
      <c r="A145" s="4"/>
      <c r="C145" s="4"/>
      <c r="D145" s="4"/>
      <c r="E145" s="4"/>
      <c r="F145" s="4"/>
      <c r="G145" s="4"/>
      <c r="H145" s="4"/>
      <c r="I145" s="4"/>
      <c r="J145" s="5"/>
      <c r="K145" s="11"/>
    </row>
    <row r="146" spans="1:11" x14ac:dyDescent="0.2">
      <c r="A146" s="4"/>
      <c r="C146" s="4"/>
      <c r="D146" s="4"/>
      <c r="E146" s="4"/>
      <c r="F146" s="4"/>
      <c r="G146" s="4"/>
      <c r="H146" s="4"/>
      <c r="I146" s="4"/>
      <c r="J146" s="5"/>
      <c r="K146" s="12"/>
    </row>
    <row r="147" spans="1:11" x14ac:dyDescent="0.2">
      <c r="A147" s="4"/>
      <c r="C147" s="4"/>
      <c r="D147" s="4"/>
      <c r="E147" s="4"/>
      <c r="F147" s="4"/>
      <c r="G147" s="4"/>
      <c r="H147" s="4"/>
      <c r="I147" s="4"/>
      <c r="J147" s="5"/>
      <c r="K147" s="12"/>
    </row>
    <row r="148" spans="1:11" x14ac:dyDescent="0.2">
      <c r="A148" s="4"/>
      <c r="C148" s="4"/>
      <c r="D148" s="4"/>
      <c r="E148" s="4"/>
      <c r="F148" s="4"/>
      <c r="G148" s="4"/>
      <c r="H148" s="4"/>
      <c r="I148" s="4"/>
      <c r="J148" s="5"/>
      <c r="K148" s="12"/>
    </row>
    <row r="149" spans="1:11" ht="17" thickBot="1" x14ac:dyDescent="0.25">
      <c r="C149" s="4"/>
      <c r="D149" s="4"/>
      <c r="E149" s="4"/>
      <c r="J149" s="5"/>
      <c r="K149" s="14"/>
    </row>
    <row r="150" spans="1:11" x14ac:dyDescent="0.2">
      <c r="E150" s="4"/>
      <c r="K150" s="15"/>
    </row>
    <row r="151" spans="1:11" x14ac:dyDescent="0.2">
      <c r="K15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C36E-6195-954C-BE22-90E2374C992E}">
  <dimension ref="A1:M75"/>
  <sheetViews>
    <sheetView tabSelected="1" workbookViewId="0">
      <selection activeCell="B1" sqref="B1"/>
    </sheetView>
  </sheetViews>
  <sheetFormatPr baseColWidth="10" defaultRowHeight="16" x14ac:dyDescent="0.2"/>
  <cols>
    <col min="12" max="12" width="13.6640625" bestFit="1" customWidth="1"/>
    <col min="13" max="13" width="23.83203125" bestFit="1" customWidth="1"/>
  </cols>
  <sheetData>
    <row r="1" spans="1:13" ht="52" thickBot="1" x14ac:dyDescent="0.25">
      <c r="A1" s="1" t="s">
        <v>0</v>
      </c>
      <c r="B1" s="1" t="s">
        <v>110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3" t="s">
        <v>0</v>
      </c>
      <c r="M1" s="18" t="s">
        <v>35</v>
      </c>
    </row>
    <row r="2" spans="1:13" x14ac:dyDescent="0.2">
      <c r="A2" s="4">
        <v>33</v>
      </c>
      <c r="B2" s="4" t="s">
        <v>72</v>
      </c>
      <c r="C2" s="4" t="s">
        <v>27</v>
      </c>
      <c r="D2" s="4" t="s">
        <v>32</v>
      </c>
      <c r="E2" s="4">
        <v>2</v>
      </c>
      <c r="F2" s="4" t="s">
        <v>28</v>
      </c>
      <c r="G2" s="4">
        <v>100</v>
      </c>
      <c r="H2" s="4">
        <v>1</v>
      </c>
      <c r="I2" s="4" t="s">
        <v>12</v>
      </c>
      <c r="J2" s="5">
        <v>144</v>
      </c>
      <c r="K2" s="9">
        <v>33</v>
      </c>
      <c r="L2" t="str">
        <f t="shared" ref="L2:L33" si="0">CONCATENATE(D2,"_",A2)</f>
        <v>2024.07.16_33</v>
      </c>
      <c r="M2" t="str">
        <f t="shared" ref="M2:M34" si="1">CONCATENATE(L2,"_",G2,"nM")</f>
        <v>2024.07.16_33_100nM</v>
      </c>
    </row>
    <row r="3" spans="1:13" x14ac:dyDescent="0.2">
      <c r="A3" s="4">
        <v>34</v>
      </c>
      <c r="B3" s="4" t="s">
        <v>73</v>
      </c>
      <c r="C3" s="4" t="s">
        <v>27</v>
      </c>
      <c r="D3" s="4" t="s">
        <v>32</v>
      </c>
      <c r="E3" s="4">
        <v>2</v>
      </c>
      <c r="F3" s="4" t="s">
        <v>28</v>
      </c>
      <c r="G3" s="4">
        <v>100</v>
      </c>
      <c r="H3" s="4">
        <v>2</v>
      </c>
      <c r="I3" s="4" t="s">
        <v>14</v>
      </c>
      <c r="J3" s="5">
        <v>145</v>
      </c>
      <c r="K3" s="9">
        <v>34</v>
      </c>
      <c r="L3" t="str">
        <f t="shared" si="0"/>
        <v>2024.07.16_34</v>
      </c>
      <c r="M3" t="str">
        <f t="shared" si="1"/>
        <v>2024.07.16_34_100nM</v>
      </c>
    </row>
    <row r="4" spans="1:13" x14ac:dyDescent="0.2">
      <c r="A4" s="4">
        <v>35</v>
      </c>
      <c r="B4" s="4" t="s">
        <v>74</v>
      </c>
      <c r="C4" s="4" t="s">
        <v>27</v>
      </c>
      <c r="D4" s="4" t="s">
        <v>32</v>
      </c>
      <c r="E4" s="4">
        <v>2</v>
      </c>
      <c r="F4" s="4" t="s">
        <v>28</v>
      </c>
      <c r="G4" s="4">
        <v>100</v>
      </c>
      <c r="H4" s="4">
        <v>3</v>
      </c>
      <c r="I4" s="4" t="s">
        <v>16</v>
      </c>
      <c r="J4" s="5">
        <v>146</v>
      </c>
      <c r="K4" s="9">
        <v>35</v>
      </c>
      <c r="L4" t="str">
        <f t="shared" si="0"/>
        <v>2024.07.16_35</v>
      </c>
      <c r="M4" t="str">
        <f t="shared" si="1"/>
        <v>2024.07.16_35_100nM</v>
      </c>
    </row>
    <row r="5" spans="1:13" x14ac:dyDescent="0.2">
      <c r="A5" s="4">
        <v>36</v>
      </c>
      <c r="B5" s="4" t="s">
        <v>75</v>
      </c>
      <c r="C5" s="4" t="s">
        <v>27</v>
      </c>
      <c r="D5" s="4" t="s">
        <v>32</v>
      </c>
      <c r="E5" s="4">
        <v>2</v>
      </c>
      <c r="F5" s="4" t="s">
        <v>28</v>
      </c>
      <c r="G5" s="4">
        <v>100</v>
      </c>
      <c r="H5" s="4">
        <v>4</v>
      </c>
      <c r="I5" s="4" t="s">
        <v>18</v>
      </c>
      <c r="J5" s="5">
        <v>147</v>
      </c>
      <c r="K5" s="9">
        <v>36</v>
      </c>
      <c r="L5" t="str">
        <f t="shared" si="0"/>
        <v>2024.07.16_36</v>
      </c>
      <c r="M5" t="str">
        <f t="shared" si="1"/>
        <v>2024.07.16_36_100nM</v>
      </c>
    </row>
    <row r="6" spans="1:13" x14ac:dyDescent="0.2">
      <c r="A6" s="4">
        <v>37</v>
      </c>
      <c r="B6" s="4" t="s">
        <v>76</v>
      </c>
      <c r="C6" s="4" t="s">
        <v>27</v>
      </c>
      <c r="D6" s="4" t="s">
        <v>32</v>
      </c>
      <c r="E6" s="4">
        <v>2</v>
      </c>
      <c r="F6" s="4" t="s">
        <v>28</v>
      </c>
      <c r="G6" s="4">
        <v>33.299999999999997</v>
      </c>
      <c r="H6" s="4">
        <v>1</v>
      </c>
      <c r="I6" s="4" t="s">
        <v>12</v>
      </c>
      <c r="J6" s="5">
        <v>148</v>
      </c>
      <c r="K6" s="9">
        <v>37</v>
      </c>
      <c r="L6" t="str">
        <f t="shared" si="0"/>
        <v>2024.07.16_37</v>
      </c>
      <c r="M6" t="str">
        <f t="shared" si="1"/>
        <v>2024.07.16_37_33.3nM</v>
      </c>
    </row>
    <row r="7" spans="1:13" x14ac:dyDescent="0.2">
      <c r="A7" s="4">
        <v>38</v>
      </c>
      <c r="B7" s="4" t="s">
        <v>77</v>
      </c>
      <c r="C7" s="4" t="s">
        <v>27</v>
      </c>
      <c r="D7" s="4" t="s">
        <v>32</v>
      </c>
      <c r="E7" s="4">
        <v>2</v>
      </c>
      <c r="F7" s="4" t="s">
        <v>28</v>
      </c>
      <c r="G7" s="4">
        <v>33.299999999999997</v>
      </c>
      <c r="H7" s="4">
        <v>2</v>
      </c>
      <c r="I7" s="4" t="s">
        <v>14</v>
      </c>
      <c r="J7" s="5">
        <v>149</v>
      </c>
      <c r="K7" s="9">
        <v>38</v>
      </c>
      <c r="L7" t="str">
        <f t="shared" si="0"/>
        <v>2024.07.16_38</v>
      </c>
      <c r="M7" t="str">
        <f t="shared" si="1"/>
        <v>2024.07.16_38_33.3nM</v>
      </c>
    </row>
    <row r="8" spans="1:13" x14ac:dyDescent="0.2">
      <c r="A8" s="4">
        <v>39</v>
      </c>
      <c r="B8" s="4" t="s">
        <v>78</v>
      </c>
      <c r="C8" s="4" t="s">
        <v>27</v>
      </c>
      <c r="D8" s="4" t="s">
        <v>32</v>
      </c>
      <c r="E8" s="4">
        <v>2</v>
      </c>
      <c r="F8" s="4" t="s">
        <v>28</v>
      </c>
      <c r="G8" s="4">
        <v>33.299999999999997</v>
      </c>
      <c r="H8" s="4">
        <v>3</v>
      </c>
      <c r="I8" s="4" t="s">
        <v>16</v>
      </c>
      <c r="J8" s="5">
        <v>150</v>
      </c>
      <c r="K8" s="9">
        <v>39</v>
      </c>
      <c r="L8" t="str">
        <f t="shared" si="0"/>
        <v>2024.07.16_39</v>
      </c>
      <c r="M8" t="str">
        <f t="shared" si="1"/>
        <v>2024.07.16_39_33.3nM</v>
      </c>
    </row>
    <row r="9" spans="1:13" x14ac:dyDescent="0.2">
      <c r="A9" s="4">
        <v>40</v>
      </c>
      <c r="B9" s="4" t="s">
        <v>79</v>
      </c>
      <c r="C9" s="4" t="s">
        <v>27</v>
      </c>
      <c r="D9" s="4" t="s">
        <v>32</v>
      </c>
      <c r="E9" s="4">
        <v>2</v>
      </c>
      <c r="F9" s="4" t="s">
        <v>28</v>
      </c>
      <c r="G9" s="4">
        <v>33.299999999999997</v>
      </c>
      <c r="H9" s="4">
        <v>4</v>
      </c>
      <c r="I9" s="4" t="s">
        <v>18</v>
      </c>
      <c r="J9" s="5">
        <v>151</v>
      </c>
      <c r="K9" s="9">
        <v>40</v>
      </c>
      <c r="L9" t="str">
        <f t="shared" si="0"/>
        <v>2024.07.16_40</v>
      </c>
      <c r="M9" t="str">
        <f t="shared" si="1"/>
        <v>2024.07.16_40_33.3nM</v>
      </c>
    </row>
    <row r="10" spans="1:13" x14ac:dyDescent="0.2">
      <c r="A10" s="4">
        <v>41</v>
      </c>
      <c r="B10" s="4" t="s">
        <v>80</v>
      </c>
      <c r="C10" s="4" t="s">
        <v>27</v>
      </c>
      <c r="D10" s="4" t="s">
        <v>32</v>
      </c>
      <c r="E10" s="4">
        <v>2</v>
      </c>
      <c r="F10" s="4" t="s">
        <v>28</v>
      </c>
      <c r="G10" s="4">
        <v>10</v>
      </c>
      <c r="H10" s="4">
        <v>1</v>
      </c>
      <c r="I10" s="4" t="s">
        <v>12</v>
      </c>
      <c r="J10" s="5">
        <v>152</v>
      </c>
      <c r="K10" s="9">
        <v>41</v>
      </c>
      <c r="L10" t="str">
        <f t="shared" si="0"/>
        <v>2024.07.16_41</v>
      </c>
      <c r="M10" t="str">
        <f t="shared" si="1"/>
        <v>2024.07.16_41_10nM</v>
      </c>
    </row>
    <row r="11" spans="1:13" x14ac:dyDescent="0.2">
      <c r="A11" s="4">
        <v>42</v>
      </c>
      <c r="B11" s="4" t="s">
        <v>81</v>
      </c>
      <c r="C11" s="4" t="s">
        <v>27</v>
      </c>
      <c r="D11" s="4" t="s">
        <v>32</v>
      </c>
      <c r="E11" s="4">
        <v>2</v>
      </c>
      <c r="F11" s="4" t="s">
        <v>28</v>
      </c>
      <c r="G11" s="4">
        <v>10</v>
      </c>
      <c r="H11" s="4">
        <v>2</v>
      </c>
      <c r="I11" s="4" t="s">
        <v>14</v>
      </c>
      <c r="J11" s="5">
        <v>153</v>
      </c>
      <c r="K11" s="9">
        <v>42</v>
      </c>
      <c r="L11" t="str">
        <f t="shared" si="0"/>
        <v>2024.07.16_42</v>
      </c>
      <c r="M11" t="str">
        <f t="shared" si="1"/>
        <v>2024.07.16_42_10nM</v>
      </c>
    </row>
    <row r="12" spans="1:13" x14ac:dyDescent="0.2">
      <c r="A12" s="4">
        <v>43</v>
      </c>
      <c r="B12" s="4" t="s">
        <v>82</v>
      </c>
      <c r="C12" s="4" t="s">
        <v>27</v>
      </c>
      <c r="D12" s="4" t="s">
        <v>32</v>
      </c>
      <c r="E12" s="4">
        <v>2</v>
      </c>
      <c r="F12" s="4" t="s">
        <v>28</v>
      </c>
      <c r="G12" s="4">
        <v>10</v>
      </c>
      <c r="H12" s="4">
        <v>3</v>
      </c>
      <c r="I12" s="4" t="s">
        <v>16</v>
      </c>
      <c r="J12" s="5">
        <v>154</v>
      </c>
      <c r="K12" s="9">
        <v>43</v>
      </c>
      <c r="L12" t="str">
        <f t="shared" si="0"/>
        <v>2024.07.16_43</v>
      </c>
      <c r="M12" t="str">
        <f t="shared" si="1"/>
        <v>2024.07.16_43_10nM</v>
      </c>
    </row>
    <row r="13" spans="1:13" x14ac:dyDescent="0.2">
      <c r="A13" s="4">
        <v>44</v>
      </c>
      <c r="B13" s="4" t="s">
        <v>83</v>
      </c>
      <c r="C13" s="4" t="s">
        <v>27</v>
      </c>
      <c r="D13" s="4" t="s">
        <v>32</v>
      </c>
      <c r="E13" s="4">
        <v>2</v>
      </c>
      <c r="F13" s="4" t="s">
        <v>28</v>
      </c>
      <c r="G13" s="4">
        <v>10</v>
      </c>
      <c r="H13" s="4">
        <v>4</v>
      </c>
      <c r="I13" s="4" t="s">
        <v>18</v>
      </c>
      <c r="J13" s="5">
        <v>155</v>
      </c>
      <c r="K13" s="9">
        <v>44</v>
      </c>
      <c r="L13" t="str">
        <f t="shared" si="0"/>
        <v>2024.07.16_44</v>
      </c>
      <c r="M13" t="str">
        <f t="shared" si="1"/>
        <v>2024.07.16_44_10nM</v>
      </c>
    </row>
    <row r="14" spans="1:13" x14ac:dyDescent="0.2">
      <c r="A14" s="4">
        <v>45</v>
      </c>
      <c r="B14" s="4" t="s">
        <v>84</v>
      </c>
      <c r="C14" s="4" t="s">
        <v>27</v>
      </c>
      <c r="D14" s="4" t="s">
        <v>32</v>
      </c>
      <c r="E14" s="4">
        <v>2</v>
      </c>
      <c r="F14" s="4" t="s">
        <v>28</v>
      </c>
      <c r="G14" s="4">
        <v>3.33</v>
      </c>
      <c r="H14" s="4">
        <v>1</v>
      </c>
      <c r="I14" s="4" t="s">
        <v>12</v>
      </c>
      <c r="J14" s="5">
        <v>156</v>
      </c>
      <c r="K14" s="9">
        <v>45</v>
      </c>
      <c r="L14" t="str">
        <f t="shared" si="0"/>
        <v>2024.07.16_45</v>
      </c>
      <c r="M14" t="str">
        <f t="shared" si="1"/>
        <v>2024.07.16_45_3.33nM</v>
      </c>
    </row>
    <row r="15" spans="1:13" x14ac:dyDescent="0.2">
      <c r="A15" s="4">
        <v>46</v>
      </c>
      <c r="B15" s="4" t="s">
        <v>85</v>
      </c>
      <c r="C15" s="4" t="s">
        <v>27</v>
      </c>
      <c r="D15" s="4" t="s">
        <v>32</v>
      </c>
      <c r="E15" s="4">
        <v>2</v>
      </c>
      <c r="F15" s="4" t="s">
        <v>28</v>
      </c>
      <c r="G15" s="4">
        <v>3.33</v>
      </c>
      <c r="H15" s="4">
        <v>2</v>
      </c>
      <c r="I15" s="4" t="s">
        <v>14</v>
      </c>
      <c r="J15" s="5">
        <v>157</v>
      </c>
      <c r="K15" s="9">
        <v>46</v>
      </c>
      <c r="L15" t="str">
        <f t="shared" si="0"/>
        <v>2024.07.16_46</v>
      </c>
      <c r="M15" t="str">
        <f t="shared" si="1"/>
        <v>2024.07.16_46_3.33nM</v>
      </c>
    </row>
    <row r="16" spans="1:13" x14ac:dyDescent="0.2">
      <c r="A16" s="4">
        <v>47</v>
      </c>
      <c r="B16" s="4" t="s">
        <v>86</v>
      </c>
      <c r="C16" s="4" t="s">
        <v>27</v>
      </c>
      <c r="D16" s="4" t="s">
        <v>32</v>
      </c>
      <c r="E16" s="4">
        <v>2</v>
      </c>
      <c r="F16" s="4" t="s">
        <v>28</v>
      </c>
      <c r="G16" s="4">
        <v>3.33</v>
      </c>
      <c r="H16" s="4">
        <v>3</v>
      </c>
      <c r="I16" s="4" t="s">
        <v>16</v>
      </c>
      <c r="J16" s="5">
        <v>158</v>
      </c>
      <c r="K16" s="9">
        <v>47</v>
      </c>
      <c r="L16" t="str">
        <f t="shared" si="0"/>
        <v>2024.07.16_47</v>
      </c>
      <c r="M16" t="str">
        <f t="shared" si="1"/>
        <v>2024.07.16_47_3.33nM</v>
      </c>
    </row>
    <row r="17" spans="1:13" x14ac:dyDescent="0.2">
      <c r="A17" s="4">
        <v>48</v>
      </c>
      <c r="B17" s="4" t="s">
        <v>87</v>
      </c>
      <c r="C17" s="4" t="s">
        <v>27</v>
      </c>
      <c r="D17" s="4" t="s">
        <v>32</v>
      </c>
      <c r="E17" s="4">
        <v>2</v>
      </c>
      <c r="F17" s="4" t="s">
        <v>28</v>
      </c>
      <c r="G17" s="4">
        <v>3.33</v>
      </c>
      <c r="H17" s="4">
        <v>4</v>
      </c>
      <c r="I17" s="4" t="s">
        <v>18</v>
      </c>
      <c r="J17" s="5">
        <v>159</v>
      </c>
      <c r="K17" s="9">
        <v>48</v>
      </c>
      <c r="L17" t="str">
        <f t="shared" si="0"/>
        <v>2024.07.16_48</v>
      </c>
      <c r="M17" t="str">
        <f t="shared" si="1"/>
        <v>2024.07.16_48_3.33nM</v>
      </c>
    </row>
    <row r="18" spans="1:13" x14ac:dyDescent="0.2">
      <c r="A18" s="4">
        <v>49</v>
      </c>
      <c r="B18" s="4" t="s">
        <v>88</v>
      </c>
      <c r="C18" s="4" t="s">
        <v>27</v>
      </c>
      <c r="D18" s="4" t="s">
        <v>32</v>
      </c>
      <c r="E18" s="4">
        <v>2</v>
      </c>
      <c r="F18" s="4" t="s">
        <v>28</v>
      </c>
      <c r="G18" s="4">
        <v>1</v>
      </c>
      <c r="H18" s="4">
        <v>1</v>
      </c>
      <c r="I18" s="4" t="s">
        <v>12</v>
      </c>
      <c r="J18" s="5">
        <v>160</v>
      </c>
      <c r="K18" s="9">
        <v>49</v>
      </c>
      <c r="L18" t="str">
        <f t="shared" si="0"/>
        <v>2024.07.16_49</v>
      </c>
      <c r="M18" t="str">
        <f t="shared" si="1"/>
        <v>2024.07.16_49_1nM</v>
      </c>
    </row>
    <row r="19" spans="1:13" x14ac:dyDescent="0.2">
      <c r="A19" s="4">
        <v>50</v>
      </c>
      <c r="B19" s="4" t="s">
        <v>89</v>
      </c>
      <c r="C19" s="4" t="s">
        <v>27</v>
      </c>
      <c r="D19" s="4" t="s">
        <v>32</v>
      </c>
      <c r="E19" s="4">
        <v>2</v>
      </c>
      <c r="F19" s="4" t="s">
        <v>28</v>
      </c>
      <c r="G19" s="4">
        <v>1</v>
      </c>
      <c r="H19" s="4">
        <v>2</v>
      </c>
      <c r="I19" s="4" t="s">
        <v>14</v>
      </c>
      <c r="J19" s="5">
        <v>161</v>
      </c>
      <c r="K19" s="9">
        <v>50</v>
      </c>
      <c r="L19" t="str">
        <f t="shared" si="0"/>
        <v>2024.07.16_50</v>
      </c>
      <c r="M19" t="str">
        <f t="shared" si="1"/>
        <v>2024.07.16_50_1nM</v>
      </c>
    </row>
    <row r="20" spans="1:13" x14ac:dyDescent="0.2">
      <c r="A20" s="4">
        <v>51</v>
      </c>
      <c r="B20" s="4" t="s">
        <v>90</v>
      </c>
      <c r="C20" s="4" t="s">
        <v>27</v>
      </c>
      <c r="D20" s="4" t="s">
        <v>32</v>
      </c>
      <c r="E20" s="4">
        <v>2</v>
      </c>
      <c r="F20" s="4" t="s">
        <v>28</v>
      </c>
      <c r="G20" s="4">
        <v>1</v>
      </c>
      <c r="H20" s="4">
        <v>3</v>
      </c>
      <c r="I20" s="4" t="s">
        <v>16</v>
      </c>
      <c r="J20" s="5">
        <v>162</v>
      </c>
      <c r="K20" s="9">
        <v>51</v>
      </c>
      <c r="L20" t="str">
        <f t="shared" si="0"/>
        <v>2024.07.16_51</v>
      </c>
      <c r="M20" t="str">
        <f t="shared" si="1"/>
        <v>2024.07.16_51_1nM</v>
      </c>
    </row>
    <row r="21" spans="1:13" x14ac:dyDescent="0.2">
      <c r="A21" s="4">
        <v>52</v>
      </c>
      <c r="B21" s="4" t="s">
        <v>91</v>
      </c>
      <c r="C21" s="4" t="s">
        <v>27</v>
      </c>
      <c r="D21" s="4" t="s">
        <v>32</v>
      </c>
      <c r="E21" s="4">
        <v>2</v>
      </c>
      <c r="F21" s="4" t="s">
        <v>28</v>
      </c>
      <c r="G21" s="4">
        <v>1</v>
      </c>
      <c r="H21" s="4">
        <v>4</v>
      </c>
      <c r="I21" s="4" t="s">
        <v>18</v>
      </c>
      <c r="J21" s="5">
        <v>163</v>
      </c>
      <c r="K21" s="9">
        <v>52</v>
      </c>
      <c r="L21" t="str">
        <f t="shared" si="0"/>
        <v>2024.07.16_52</v>
      </c>
      <c r="M21" t="str">
        <f t="shared" si="1"/>
        <v>2024.07.16_52_1nM</v>
      </c>
    </row>
    <row r="22" spans="1:13" x14ac:dyDescent="0.2">
      <c r="A22" s="4">
        <v>53</v>
      </c>
      <c r="B22" s="4" t="s">
        <v>92</v>
      </c>
      <c r="C22" s="4" t="s">
        <v>27</v>
      </c>
      <c r="D22" s="4" t="s">
        <v>32</v>
      </c>
      <c r="E22" s="4">
        <v>2</v>
      </c>
      <c r="F22" s="4" t="s">
        <v>28</v>
      </c>
      <c r="G22" s="4">
        <v>0.33</v>
      </c>
      <c r="H22" s="4">
        <v>1</v>
      </c>
      <c r="I22" s="4" t="s">
        <v>12</v>
      </c>
      <c r="J22" s="5">
        <v>164</v>
      </c>
      <c r="K22" s="9">
        <v>53</v>
      </c>
      <c r="L22" t="str">
        <f t="shared" si="0"/>
        <v>2024.07.16_53</v>
      </c>
      <c r="M22" t="str">
        <f t="shared" si="1"/>
        <v>2024.07.16_53_0.33nM</v>
      </c>
    </row>
    <row r="23" spans="1:13" x14ac:dyDescent="0.2">
      <c r="A23" s="4">
        <v>54</v>
      </c>
      <c r="B23" s="4" t="s">
        <v>93</v>
      </c>
      <c r="C23" s="4" t="s">
        <v>27</v>
      </c>
      <c r="D23" s="4" t="s">
        <v>32</v>
      </c>
      <c r="E23" s="4">
        <v>2</v>
      </c>
      <c r="F23" s="4" t="s">
        <v>28</v>
      </c>
      <c r="G23" s="4">
        <v>0.33</v>
      </c>
      <c r="H23" s="4">
        <v>2</v>
      </c>
      <c r="I23" s="4" t="s">
        <v>14</v>
      </c>
      <c r="J23" s="5">
        <v>165</v>
      </c>
      <c r="K23" s="9">
        <v>54</v>
      </c>
      <c r="L23" t="str">
        <f t="shared" si="0"/>
        <v>2024.07.16_54</v>
      </c>
      <c r="M23" t="str">
        <f t="shared" si="1"/>
        <v>2024.07.16_54_0.33nM</v>
      </c>
    </row>
    <row r="24" spans="1:13" x14ac:dyDescent="0.2">
      <c r="A24" s="4">
        <v>55</v>
      </c>
      <c r="B24" s="4" t="s">
        <v>94</v>
      </c>
      <c r="C24" s="4" t="s">
        <v>27</v>
      </c>
      <c r="D24" s="4" t="s">
        <v>32</v>
      </c>
      <c r="E24" s="4">
        <v>2</v>
      </c>
      <c r="F24" s="4" t="s">
        <v>28</v>
      </c>
      <c r="G24" s="4">
        <v>0.33</v>
      </c>
      <c r="H24" s="4">
        <v>3</v>
      </c>
      <c r="I24" s="4" t="s">
        <v>16</v>
      </c>
      <c r="J24" s="5">
        <v>166</v>
      </c>
      <c r="K24" s="9">
        <v>55</v>
      </c>
      <c r="L24" t="str">
        <f t="shared" si="0"/>
        <v>2024.07.16_55</v>
      </c>
      <c r="M24" t="str">
        <f t="shared" si="1"/>
        <v>2024.07.16_55_0.33nM</v>
      </c>
    </row>
    <row r="25" spans="1:13" x14ac:dyDescent="0.2">
      <c r="A25" s="4">
        <v>56</v>
      </c>
      <c r="B25" s="4" t="s">
        <v>95</v>
      </c>
      <c r="C25" s="4" t="s">
        <v>27</v>
      </c>
      <c r="D25" s="4" t="s">
        <v>32</v>
      </c>
      <c r="E25" s="4">
        <v>2</v>
      </c>
      <c r="F25" s="4" t="s">
        <v>28</v>
      </c>
      <c r="G25" s="4">
        <v>0.33</v>
      </c>
      <c r="H25" s="4">
        <v>4</v>
      </c>
      <c r="I25" s="4" t="s">
        <v>18</v>
      </c>
      <c r="J25" s="5">
        <v>167</v>
      </c>
      <c r="K25" s="9">
        <v>56</v>
      </c>
      <c r="L25" t="str">
        <f t="shared" si="0"/>
        <v>2024.07.16_56</v>
      </c>
      <c r="M25" t="str">
        <f t="shared" si="1"/>
        <v>2024.07.16_56_0.33nM</v>
      </c>
    </row>
    <row r="26" spans="1:13" x14ac:dyDescent="0.2">
      <c r="A26" s="4">
        <v>57</v>
      </c>
      <c r="B26" s="4" t="s">
        <v>96</v>
      </c>
      <c r="C26" s="4" t="s">
        <v>27</v>
      </c>
      <c r="D26" s="4" t="s">
        <v>32</v>
      </c>
      <c r="E26" s="4">
        <v>2</v>
      </c>
      <c r="F26" s="4" t="s">
        <v>28</v>
      </c>
      <c r="G26" s="4">
        <v>0.1</v>
      </c>
      <c r="H26" s="4">
        <v>1</v>
      </c>
      <c r="I26" s="4" t="s">
        <v>12</v>
      </c>
      <c r="J26" s="5">
        <v>168</v>
      </c>
      <c r="K26" s="9">
        <v>57</v>
      </c>
      <c r="L26" t="str">
        <f t="shared" si="0"/>
        <v>2024.07.16_57</v>
      </c>
      <c r="M26" t="str">
        <f t="shared" si="1"/>
        <v>2024.07.16_57_0.1nM</v>
      </c>
    </row>
    <row r="27" spans="1:13" x14ac:dyDescent="0.2">
      <c r="A27" s="4">
        <v>58</v>
      </c>
      <c r="B27" s="4" t="s">
        <v>97</v>
      </c>
      <c r="C27" s="4" t="s">
        <v>27</v>
      </c>
      <c r="D27" s="4" t="s">
        <v>32</v>
      </c>
      <c r="E27" s="4">
        <v>2</v>
      </c>
      <c r="F27" s="4" t="s">
        <v>28</v>
      </c>
      <c r="G27" s="4">
        <v>0.1</v>
      </c>
      <c r="H27" s="4">
        <v>2</v>
      </c>
      <c r="I27" s="4" t="s">
        <v>14</v>
      </c>
      <c r="J27" s="5">
        <v>169</v>
      </c>
      <c r="K27" s="9">
        <v>58</v>
      </c>
      <c r="L27" t="str">
        <f t="shared" si="0"/>
        <v>2024.07.16_58</v>
      </c>
      <c r="M27" t="str">
        <f t="shared" si="1"/>
        <v>2024.07.16_58_0.1nM</v>
      </c>
    </row>
    <row r="28" spans="1:13" x14ac:dyDescent="0.2">
      <c r="A28" s="4">
        <v>59</v>
      </c>
      <c r="B28" s="4" t="s">
        <v>98</v>
      </c>
      <c r="C28" s="4" t="s">
        <v>27</v>
      </c>
      <c r="D28" s="4" t="s">
        <v>32</v>
      </c>
      <c r="E28" s="4">
        <v>2</v>
      </c>
      <c r="F28" s="4" t="s">
        <v>28</v>
      </c>
      <c r="G28" s="4">
        <v>0.1</v>
      </c>
      <c r="H28" s="4">
        <v>3</v>
      </c>
      <c r="I28" s="4" t="s">
        <v>16</v>
      </c>
      <c r="J28" s="5">
        <v>170</v>
      </c>
      <c r="K28" s="9">
        <v>59</v>
      </c>
      <c r="L28" t="str">
        <f t="shared" si="0"/>
        <v>2024.07.16_59</v>
      </c>
      <c r="M28" t="str">
        <f t="shared" si="1"/>
        <v>2024.07.16_59_0.1nM</v>
      </c>
    </row>
    <row r="29" spans="1:13" ht="17" thickBot="1" x14ac:dyDescent="0.25">
      <c r="A29" s="4">
        <v>60</v>
      </c>
      <c r="B29" s="4" t="s">
        <v>99</v>
      </c>
      <c r="C29" s="4" t="s">
        <v>27</v>
      </c>
      <c r="D29" s="4" t="s">
        <v>32</v>
      </c>
      <c r="E29" s="4">
        <v>2</v>
      </c>
      <c r="F29" s="4" t="s">
        <v>28</v>
      </c>
      <c r="G29" s="4">
        <v>0.1</v>
      </c>
      <c r="H29" s="4">
        <v>4</v>
      </c>
      <c r="I29" s="4" t="s">
        <v>18</v>
      </c>
      <c r="J29" s="5">
        <v>171</v>
      </c>
      <c r="K29" s="10">
        <v>60</v>
      </c>
      <c r="L29" t="str">
        <f t="shared" si="0"/>
        <v>2024.07.16_60</v>
      </c>
      <c r="M29" t="str">
        <f t="shared" si="1"/>
        <v>2024.07.16_60_0.1nM</v>
      </c>
    </row>
    <row r="30" spans="1:13" x14ac:dyDescent="0.2">
      <c r="A30" s="4" t="s">
        <v>13</v>
      </c>
      <c r="B30" s="4" t="s">
        <v>100</v>
      </c>
      <c r="C30" s="4" t="s">
        <v>27</v>
      </c>
      <c r="D30" s="4" t="s">
        <v>32</v>
      </c>
      <c r="E30" s="4">
        <v>2</v>
      </c>
      <c r="F30" s="4" t="s">
        <v>28</v>
      </c>
      <c r="G30" s="4">
        <v>3.3000000000000002E-2</v>
      </c>
      <c r="H30" s="4">
        <v>1</v>
      </c>
      <c r="I30" s="4" t="s">
        <v>12</v>
      </c>
      <c r="J30" s="5">
        <v>172</v>
      </c>
      <c r="K30" s="11" t="s">
        <v>13</v>
      </c>
      <c r="L30" t="str">
        <f t="shared" si="0"/>
        <v>2024.07.16_A</v>
      </c>
      <c r="M30" t="str">
        <f t="shared" si="1"/>
        <v>2024.07.16_A_0.033nM</v>
      </c>
    </row>
    <row r="31" spans="1:13" x14ac:dyDescent="0.2">
      <c r="A31" s="4" t="s">
        <v>15</v>
      </c>
      <c r="B31" s="4" t="s">
        <v>101</v>
      </c>
      <c r="C31" s="4" t="s">
        <v>27</v>
      </c>
      <c r="D31" s="4" t="s">
        <v>32</v>
      </c>
      <c r="E31" s="4">
        <v>2</v>
      </c>
      <c r="F31" s="4" t="s">
        <v>28</v>
      </c>
      <c r="G31" s="4">
        <v>3.3000000000000002E-2</v>
      </c>
      <c r="H31" s="4">
        <v>2</v>
      </c>
      <c r="I31" s="4" t="s">
        <v>14</v>
      </c>
      <c r="J31" s="5">
        <v>173</v>
      </c>
      <c r="K31" s="12" t="s">
        <v>15</v>
      </c>
      <c r="L31" t="str">
        <f t="shared" si="0"/>
        <v>2024.07.16_B</v>
      </c>
      <c r="M31" t="str">
        <f t="shared" si="1"/>
        <v>2024.07.16_B_0.033nM</v>
      </c>
    </row>
    <row r="32" spans="1:13" x14ac:dyDescent="0.2">
      <c r="A32" s="4" t="s">
        <v>17</v>
      </c>
      <c r="B32" s="4" t="s">
        <v>102</v>
      </c>
      <c r="C32" s="4" t="s">
        <v>27</v>
      </c>
      <c r="D32" s="4" t="s">
        <v>32</v>
      </c>
      <c r="E32" s="4">
        <v>2</v>
      </c>
      <c r="F32" s="4" t="s">
        <v>28</v>
      </c>
      <c r="G32" s="4">
        <v>3.3000000000000002E-2</v>
      </c>
      <c r="H32" s="4">
        <v>3</v>
      </c>
      <c r="I32" s="4" t="s">
        <v>16</v>
      </c>
      <c r="J32" s="5">
        <v>174</v>
      </c>
      <c r="K32" s="12" t="s">
        <v>17</v>
      </c>
      <c r="L32" t="str">
        <f t="shared" si="0"/>
        <v>2024.07.16_C</v>
      </c>
      <c r="M32" t="str">
        <f t="shared" si="1"/>
        <v>2024.07.16_C_0.033nM</v>
      </c>
    </row>
    <row r="33" spans="1:13" x14ac:dyDescent="0.2">
      <c r="A33" s="4" t="s">
        <v>19</v>
      </c>
      <c r="B33" s="4" t="s">
        <v>103</v>
      </c>
      <c r="C33" s="4" t="s">
        <v>27</v>
      </c>
      <c r="D33" s="4" t="s">
        <v>32</v>
      </c>
      <c r="E33" s="4">
        <v>2</v>
      </c>
      <c r="F33" s="4" t="s">
        <v>28</v>
      </c>
      <c r="G33" s="4">
        <v>3.3000000000000002E-2</v>
      </c>
      <c r="H33" s="4">
        <v>4</v>
      </c>
      <c r="I33" s="4" t="s">
        <v>18</v>
      </c>
      <c r="J33" s="5">
        <v>175</v>
      </c>
      <c r="K33" s="12" t="s">
        <v>19</v>
      </c>
      <c r="L33" t="str">
        <f t="shared" si="0"/>
        <v>2024.07.16_D</v>
      </c>
      <c r="M33" t="str">
        <f t="shared" si="1"/>
        <v>2024.07.16_D_0.033nM</v>
      </c>
    </row>
    <row r="34" spans="1:13" ht="17" thickBot="1" x14ac:dyDescent="0.25">
      <c r="A34" s="4" t="s">
        <v>29</v>
      </c>
      <c r="B34" s="19" t="s">
        <v>109</v>
      </c>
      <c r="C34" s="4" t="s">
        <v>27</v>
      </c>
      <c r="D34" s="4" t="s">
        <v>32</v>
      </c>
      <c r="E34" s="4">
        <v>2</v>
      </c>
      <c r="F34" s="4" t="s">
        <v>30</v>
      </c>
      <c r="G34" s="4" t="s">
        <v>30</v>
      </c>
      <c r="H34" s="4" t="s">
        <v>30</v>
      </c>
      <c r="I34" s="4"/>
      <c r="J34" s="5"/>
      <c r="K34" s="8" t="s">
        <v>31</v>
      </c>
      <c r="L34" t="str">
        <f t="shared" ref="L34:L65" si="2">CONCATENATE(D34,"_",A34)</f>
        <v>2024.07.16_pre</v>
      </c>
      <c r="M34" t="str">
        <f t="shared" si="1"/>
        <v>2024.07.16_pre_NAnM</v>
      </c>
    </row>
    <row r="35" spans="1:13" x14ac:dyDescent="0.2">
      <c r="A35" s="4">
        <v>61</v>
      </c>
      <c r="B35" s="4" t="s">
        <v>104</v>
      </c>
      <c r="C35" s="4" t="s">
        <v>27</v>
      </c>
      <c r="D35" s="4" t="s">
        <v>32</v>
      </c>
      <c r="E35" s="4">
        <v>2</v>
      </c>
      <c r="F35" s="4" t="s">
        <v>20</v>
      </c>
      <c r="G35" s="4">
        <v>30</v>
      </c>
      <c r="H35" s="4">
        <v>1</v>
      </c>
      <c r="I35" s="4" t="s">
        <v>12</v>
      </c>
      <c r="J35" s="5">
        <v>176</v>
      </c>
      <c r="K35" s="13">
        <v>61</v>
      </c>
      <c r="L35" t="str">
        <f t="shared" si="2"/>
        <v>2024.07.16_61</v>
      </c>
      <c r="M35" t="str">
        <f>CONCATENATE(L35,"_",G35,"nM HAtag")</f>
        <v>2024.07.16_61_30nM HAtag</v>
      </c>
    </row>
    <row r="36" spans="1:13" x14ac:dyDescent="0.2">
      <c r="A36" s="4">
        <v>62</v>
      </c>
      <c r="B36" s="4" t="s">
        <v>105</v>
      </c>
      <c r="C36" s="4" t="s">
        <v>27</v>
      </c>
      <c r="D36" s="4" t="s">
        <v>32</v>
      </c>
      <c r="E36" s="4">
        <v>2</v>
      </c>
      <c r="F36" s="4" t="s">
        <v>20</v>
      </c>
      <c r="G36" s="4">
        <v>30</v>
      </c>
      <c r="H36" s="4">
        <v>2</v>
      </c>
      <c r="I36" s="4" t="s">
        <v>14</v>
      </c>
      <c r="J36" s="5">
        <v>177</v>
      </c>
      <c r="K36" s="9">
        <v>62</v>
      </c>
      <c r="L36" t="str">
        <f t="shared" si="2"/>
        <v>2024.07.16_62</v>
      </c>
      <c r="M36" t="str">
        <f>CONCATENATE(L36,"_",G36,"nM HAtag")</f>
        <v>2024.07.16_62_30nM HAtag</v>
      </c>
    </row>
    <row r="37" spans="1:13" x14ac:dyDescent="0.2">
      <c r="A37" s="4">
        <v>63</v>
      </c>
      <c r="B37" s="4" t="s">
        <v>106</v>
      </c>
      <c r="C37" s="4" t="s">
        <v>27</v>
      </c>
      <c r="D37" s="4" t="s">
        <v>32</v>
      </c>
      <c r="E37" s="4">
        <v>2</v>
      </c>
      <c r="F37" s="4" t="s">
        <v>20</v>
      </c>
      <c r="G37" s="4">
        <v>30</v>
      </c>
      <c r="H37" s="4">
        <v>3</v>
      </c>
      <c r="I37" s="4" t="s">
        <v>16</v>
      </c>
      <c r="J37" s="5">
        <v>178</v>
      </c>
      <c r="K37" s="9">
        <v>63</v>
      </c>
      <c r="L37" t="str">
        <f t="shared" si="2"/>
        <v>2024.07.16_63</v>
      </c>
      <c r="M37" t="str">
        <f>CONCATENATE(L37,"_",G37,"nM HAtag")</f>
        <v>2024.07.16_63_30nM HAtag</v>
      </c>
    </row>
    <row r="38" spans="1:13" x14ac:dyDescent="0.2">
      <c r="A38" s="4">
        <v>64</v>
      </c>
      <c r="B38" s="4" t="s">
        <v>107</v>
      </c>
      <c r="C38" s="4" t="s">
        <v>27</v>
      </c>
      <c r="D38" s="4" t="s">
        <v>32</v>
      </c>
      <c r="E38" s="4">
        <v>2</v>
      </c>
      <c r="F38" s="4" t="s">
        <v>20</v>
      </c>
      <c r="G38" s="4">
        <v>30</v>
      </c>
      <c r="H38" s="4">
        <v>4</v>
      </c>
      <c r="I38" s="4" t="s">
        <v>18</v>
      </c>
      <c r="J38" s="5">
        <v>179</v>
      </c>
      <c r="K38" s="9">
        <v>64</v>
      </c>
      <c r="L38" t="str">
        <f t="shared" si="2"/>
        <v>2024.07.16_64</v>
      </c>
      <c r="M38" t="str">
        <f>CONCATENATE(L38,"_",G38,"nM HAtag")</f>
        <v>2024.07.16_64_30nM HAtag</v>
      </c>
    </row>
    <row r="39" spans="1:13" x14ac:dyDescent="0.2">
      <c r="A39" s="16">
        <v>1</v>
      </c>
      <c r="B39" s="4" t="s">
        <v>36</v>
      </c>
      <c r="C39" s="16" t="s">
        <v>33</v>
      </c>
      <c r="D39" s="16" t="s">
        <v>33</v>
      </c>
      <c r="E39" s="16">
        <v>1</v>
      </c>
      <c r="F39" s="16" t="s">
        <v>28</v>
      </c>
      <c r="G39" s="16">
        <v>100</v>
      </c>
      <c r="H39" s="16">
        <v>1</v>
      </c>
      <c r="I39" s="16" t="s">
        <v>12</v>
      </c>
      <c r="J39" s="16">
        <v>180</v>
      </c>
      <c r="K39" s="16">
        <v>1</v>
      </c>
      <c r="L39" s="17" t="str">
        <f t="shared" si="2"/>
        <v>2024.07.15_1</v>
      </c>
      <c r="M39" t="str">
        <f t="shared" ref="M39:M66" si="3">CONCATENATE(L39,"_",G39,"nM")</f>
        <v>2024.07.15_1_100nM</v>
      </c>
    </row>
    <row r="40" spans="1:13" x14ac:dyDescent="0.2">
      <c r="A40" s="16">
        <v>2</v>
      </c>
      <c r="B40" s="4" t="s">
        <v>37</v>
      </c>
      <c r="C40" s="16" t="s">
        <v>33</v>
      </c>
      <c r="D40" s="16" t="s">
        <v>33</v>
      </c>
      <c r="E40" s="16">
        <v>1</v>
      </c>
      <c r="F40" s="16" t="s">
        <v>28</v>
      </c>
      <c r="G40" s="16">
        <v>100</v>
      </c>
      <c r="H40" s="16">
        <v>2</v>
      </c>
      <c r="I40" s="16" t="s">
        <v>14</v>
      </c>
      <c r="J40" s="16">
        <v>181</v>
      </c>
      <c r="K40" s="16">
        <v>2</v>
      </c>
      <c r="L40" s="17" t="str">
        <f t="shared" si="2"/>
        <v>2024.07.15_2</v>
      </c>
      <c r="M40" t="str">
        <f t="shared" si="3"/>
        <v>2024.07.15_2_100nM</v>
      </c>
    </row>
    <row r="41" spans="1:13" x14ac:dyDescent="0.2">
      <c r="A41" s="16">
        <v>3</v>
      </c>
      <c r="B41" s="4" t="s">
        <v>38</v>
      </c>
      <c r="C41" s="16" t="s">
        <v>33</v>
      </c>
      <c r="D41" s="16" t="s">
        <v>33</v>
      </c>
      <c r="E41" s="16">
        <v>1</v>
      </c>
      <c r="F41" s="16" t="s">
        <v>28</v>
      </c>
      <c r="G41" s="16">
        <v>100</v>
      </c>
      <c r="H41" s="16">
        <v>3</v>
      </c>
      <c r="I41" s="16" t="s">
        <v>16</v>
      </c>
      <c r="J41" s="16">
        <v>182</v>
      </c>
      <c r="K41" s="16">
        <v>3</v>
      </c>
      <c r="L41" s="17" t="str">
        <f t="shared" si="2"/>
        <v>2024.07.15_3</v>
      </c>
      <c r="M41" t="str">
        <f t="shared" si="3"/>
        <v>2024.07.15_3_100nM</v>
      </c>
    </row>
    <row r="42" spans="1:13" x14ac:dyDescent="0.2">
      <c r="A42" s="16">
        <v>4</v>
      </c>
      <c r="B42" s="4" t="s">
        <v>39</v>
      </c>
      <c r="C42" s="16" t="s">
        <v>33</v>
      </c>
      <c r="D42" s="16" t="s">
        <v>33</v>
      </c>
      <c r="E42" s="16">
        <v>1</v>
      </c>
      <c r="F42" s="16" t="s">
        <v>28</v>
      </c>
      <c r="G42" s="16">
        <v>100</v>
      </c>
      <c r="H42" s="16">
        <v>4</v>
      </c>
      <c r="I42" s="16" t="s">
        <v>18</v>
      </c>
      <c r="J42" s="16">
        <v>183</v>
      </c>
      <c r="K42" s="16">
        <v>4</v>
      </c>
      <c r="L42" s="17" t="str">
        <f t="shared" si="2"/>
        <v>2024.07.15_4</v>
      </c>
      <c r="M42" t="str">
        <f t="shared" si="3"/>
        <v>2024.07.15_4_100nM</v>
      </c>
    </row>
    <row r="43" spans="1:13" x14ac:dyDescent="0.2">
      <c r="A43" s="16">
        <v>5</v>
      </c>
      <c r="B43" s="4" t="s">
        <v>40</v>
      </c>
      <c r="C43" s="16" t="s">
        <v>33</v>
      </c>
      <c r="D43" s="16" t="s">
        <v>33</v>
      </c>
      <c r="E43" s="16">
        <v>1</v>
      </c>
      <c r="F43" s="16" t="s">
        <v>28</v>
      </c>
      <c r="G43" s="16">
        <v>33.299999999999997</v>
      </c>
      <c r="H43" s="16">
        <v>1</v>
      </c>
      <c r="I43" s="16" t="s">
        <v>12</v>
      </c>
      <c r="J43" s="16">
        <v>184</v>
      </c>
      <c r="K43" s="16">
        <v>5</v>
      </c>
      <c r="L43" s="17" t="str">
        <f t="shared" si="2"/>
        <v>2024.07.15_5</v>
      </c>
      <c r="M43" t="str">
        <f t="shared" si="3"/>
        <v>2024.07.15_5_33.3nM</v>
      </c>
    </row>
    <row r="44" spans="1:13" x14ac:dyDescent="0.2">
      <c r="A44" s="16">
        <v>6</v>
      </c>
      <c r="B44" s="4" t="s">
        <v>41</v>
      </c>
      <c r="C44" s="16" t="s">
        <v>33</v>
      </c>
      <c r="D44" s="16" t="s">
        <v>33</v>
      </c>
      <c r="E44" s="16">
        <v>1</v>
      </c>
      <c r="F44" s="16" t="s">
        <v>28</v>
      </c>
      <c r="G44" s="16">
        <v>33.299999999999997</v>
      </c>
      <c r="H44" s="16">
        <v>2</v>
      </c>
      <c r="I44" s="16" t="s">
        <v>14</v>
      </c>
      <c r="J44" s="16">
        <v>185</v>
      </c>
      <c r="K44" s="16">
        <v>6</v>
      </c>
      <c r="L44" s="17" t="str">
        <f t="shared" si="2"/>
        <v>2024.07.15_6</v>
      </c>
      <c r="M44" t="str">
        <f t="shared" si="3"/>
        <v>2024.07.15_6_33.3nM</v>
      </c>
    </row>
    <row r="45" spans="1:13" x14ac:dyDescent="0.2">
      <c r="A45" s="16">
        <v>7</v>
      </c>
      <c r="B45" s="4" t="s">
        <v>42</v>
      </c>
      <c r="C45" s="16" t="s">
        <v>33</v>
      </c>
      <c r="D45" s="16" t="s">
        <v>33</v>
      </c>
      <c r="E45" s="16">
        <v>1</v>
      </c>
      <c r="F45" s="16" t="s">
        <v>28</v>
      </c>
      <c r="G45" s="16">
        <v>33.299999999999997</v>
      </c>
      <c r="H45" s="16">
        <v>3</v>
      </c>
      <c r="I45" s="16" t="s">
        <v>16</v>
      </c>
      <c r="J45" s="16">
        <v>186</v>
      </c>
      <c r="K45" s="16">
        <v>7</v>
      </c>
      <c r="L45" s="17" t="str">
        <f t="shared" si="2"/>
        <v>2024.07.15_7</v>
      </c>
      <c r="M45" t="str">
        <f t="shared" si="3"/>
        <v>2024.07.15_7_33.3nM</v>
      </c>
    </row>
    <row r="46" spans="1:13" x14ac:dyDescent="0.2">
      <c r="A46" s="16">
        <v>8</v>
      </c>
      <c r="B46" s="4" t="s">
        <v>43</v>
      </c>
      <c r="C46" s="16" t="s">
        <v>33</v>
      </c>
      <c r="D46" s="16" t="s">
        <v>33</v>
      </c>
      <c r="E46" s="16">
        <v>1</v>
      </c>
      <c r="F46" s="16" t="s">
        <v>28</v>
      </c>
      <c r="G46" s="16">
        <v>33.299999999999997</v>
      </c>
      <c r="H46" s="16">
        <v>4</v>
      </c>
      <c r="I46" s="16" t="s">
        <v>18</v>
      </c>
      <c r="J46" s="16">
        <v>187</v>
      </c>
      <c r="K46" s="16">
        <v>8</v>
      </c>
      <c r="L46" s="17" t="str">
        <f t="shared" si="2"/>
        <v>2024.07.15_8</v>
      </c>
      <c r="M46" t="str">
        <f t="shared" si="3"/>
        <v>2024.07.15_8_33.3nM</v>
      </c>
    </row>
    <row r="47" spans="1:13" x14ac:dyDescent="0.2">
      <c r="A47" s="16">
        <v>9</v>
      </c>
      <c r="B47" s="4" t="s">
        <v>44</v>
      </c>
      <c r="C47" s="16" t="s">
        <v>33</v>
      </c>
      <c r="D47" s="16" t="s">
        <v>33</v>
      </c>
      <c r="E47" s="16">
        <v>1</v>
      </c>
      <c r="F47" s="16" t="s">
        <v>28</v>
      </c>
      <c r="G47" s="16">
        <v>10</v>
      </c>
      <c r="H47" s="16">
        <v>1</v>
      </c>
      <c r="I47" s="16" t="s">
        <v>12</v>
      </c>
      <c r="J47" s="16">
        <v>188</v>
      </c>
      <c r="K47" s="16">
        <v>9</v>
      </c>
      <c r="L47" s="17" t="str">
        <f t="shared" si="2"/>
        <v>2024.07.15_9</v>
      </c>
      <c r="M47" t="str">
        <f t="shared" si="3"/>
        <v>2024.07.15_9_10nM</v>
      </c>
    </row>
    <row r="48" spans="1:13" x14ac:dyDescent="0.2">
      <c r="A48" s="16">
        <v>10</v>
      </c>
      <c r="B48" s="4" t="s">
        <v>45</v>
      </c>
      <c r="C48" s="16" t="s">
        <v>33</v>
      </c>
      <c r="D48" s="16" t="s">
        <v>33</v>
      </c>
      <c r="E48" s="16">
        <v>1</v>
      </c>
      <c r="F48" s="16" t="s">
        <v>28</v>
      </c>
      <c r="G48" s="16">
        <v>10</v>
      </c>
      <c r="H48" s="16">
        <v>2</v>
      </c>
      <c r="I48" s="16" t="s">
        <v>14</v>
      </c>
      <c r="J48" s="16">
        <v>189</v>
      </c>
      <c r="K48" s="16">
        <v>10</v>
      </c>
      <c r="L48" s="17" t="str">
        <f t="shared" si="2"/>
        <v>2024.07.15_10</v>
      </c>
      <c r="M48" t="str">
        <f t="shared" si="3"/>
        <v>2024.07.15_10_10nM</v>
      </c>
    </row>
    <row r="49" spans="1:13" x14ac:dyDescent="0.2">
      <c r="A49" s="16">
        <v>11</v>
      </c>
      <c r="B49" s="4" t="s">
        <v>46</v>
      </c>
      <c r="C49" s="16" t="s">
        <v>33</v>
      </c>
      <c r="D49" s="16" t="s">
        <v>33</v>
      </c>
      <c r="E49" s="16">
        <v>1</v>
      </c>
      <c r="F49" s="16" t="s">
        <v>28</v>
      </c>
      <c r="G49" s="16">
        <v>10</v>
      </c>
      <c r="H49" s="16">
        <v>3</v>
      </c>
      <c r="I49" s="16" t="s">
        <v>16</v>
      </c>
      <c r="J49" s="16">
        <v>190</v>
      </c>
      <c r="K49" s="16">
        <v>11</v>
      </c>
      <c r="L49" s="17" t="str">
        <f t="shared" si="2"/>
        <v>2024.07.15_11</v>
      </c>
      <c r="M49" t="str">
        <f t="shared" si="3"/>
        <v>2024.07.15_11_10nM</v>
      </c>
    </row>
    <row r="50" spans="1:13" x14ac:dyDescent="0.2">
      <c r="A50" s="16">
        <v>12</v>
      </c>
      <c r="B50" s="4" t="s">
        <v>47</v>
      </c>
      <c r="C50" s="16" t="s">
        <v>33</v>
      </c>
      <c r="D50" s="16" t="s">
        <v>33</v>
      </c>
      <c r="E50" s="16">
        <v>1</v>
      </c>
      <c r="F50" s="16" t="s">
        <v>28</v>
      </c>
      <c r="G50" s="16">
        <v>10</v>
      </c>
      <c r="H50" s="16">
        <v>4</v>
      </c>
      <c r="I50" s="16" t="s">
        <v>18</v>
      </c>
      <c r="J50" s="16">
        <v>191</v>
      </c>
      <c r="K50" s="16">
        <v>12</v>
      </c>
      <c r="L50" s="17" t="str">
        <f t="shared" si="2"/>
        <v>2024.07.15_12</v>
      </c>
      <c r="M50" t="str">
        <f t="shared" si="3"/>
        <v>2024.07.15_12_10nM</v>
      </c>
    </row>
    <row r="51" spans="1:13" x14ac:dyDescent="0.2">
      <c r="A51" s="16">
        <v>13</v>
      </c>
      <c r="B51" s="4" t="s">
        <v>48</v>
      </c>
      <c r="C51" s="16" t="s">
        <v>33</v>
      </c>
      <c r="D51" s="16" t="s">
        <v>33</v>
      </c>
      <c r="E51" s="16">
        <v>1</v>
      </c>
      <c r="F51" s="16" t="s">
        <v>28</v>
      </c>
      <c r="G51" s="16">
        <v>3.33</v>
      </c>
      <c r="H51" s="16">
        <v>1</v>
      </c>
      <c r="I51" s="16" t="s">
        <v>12</v>
      </c>
      <c r="J51" s="16">
        <v>192</v>
      </c>
      <c r="K51" s="16">
        <v>13</v>
      </c>
      <c r="L51" s="17" t="str">
        <f t="shared" si="2"/>
        <v>2024.07.15_13</v>
      </c>
      <c r="M51" t="str">
        <f t="shared" si="3"/>
        <v>2024.07.15_13_3.33nM</v>
      </c>
    </row>
    <row r="52" spans="1:13" x14ac:dyDescent="0.2">
      <c r="A52" s="16">
        <v>14</v>
      </c>
      <c r="B52" s="4" t="s">
        <v>49</v>
      </c>
      <c r="C52" s="16" t="s">
        <v>33</v>
      </c>
      <c r="D52" s="16" t="s">
        <v>33</v>
      </c>
      <c r="E52" s="16">
        <v>1</v>
      </c>
      <c r="F52" s="16" t="s">
        <v>28</v>
      </c>
      <c r="G52" s="16">
        <v>3.33</v>
      </c>
      <c r="H52" s="16">
        <v>2</v>
      </c>
      <c r="I52" s="16" t="s">
        <v>14</v>
      </c>
      <c r="J52" s="16">
        <v>193</v>
      </c>
      <c r="K52" s="16">
        <v>14</v>
      </c>
      <c r="L52" s="17" t="str">
        <f t="shared" si="2"/>
        <v>2024.07.15_14</v>
      </c>
      <c r="M52" t="str">
        <f t="shared" si="3"/>
        <v>2024.07.15_14_3.33nM</v>
      </c>
    </row>
    <row r="53" spans="1:13" x14ac:dyDescent="0.2">
      <c r="A53" s="16">
        <v>15</v>
      </c>
      <c r="B53" s="4" t="s">
        <v>50</v>
      </c>
      <c r="C53" s="16" t="s">
        <v>33</v>
      </c>
      <c r="D53" s="16" t="s">
        <v>33</v>
      </c>
      <c r="E53" s="16">
        <v>1</v>
      </c>
      <c r="F53" s="16" t="s">
        <v>28</v>
      </c>
      <c r="G53" s="16">
        <v>3.33</v>
      </c>
      <c r="H53" s="16">
        <v>3</v>
      </c>
      <c r="I53" s="16" t="s">
        <v>16</v>
      </c>
      <c r="J53" s="16">
        <v>194</v>
      </c>
      <c r="K53" s="16">
        <v>15</v>
      </c>
      <c r="L53" s="17" t="str">
        <f t="shared" si="2"/>
        <v>2024.07.15_15</v>
      </c>
      <c r="M53" t="str">
        <f t="shared" si="3"/>
        <v>2024.07.15_15_3.33nM</v>
      </c>
    </row>
    <row r="54" spans="1:13" x14ac:dyDescent="0.2">
      <c r="A54" s="16">
        <v>16</v>
      </c>
      <c r="B54" s="4" t="s">
        <v>51</v>
      </c>
      <c r="C54" s="16" t="s">
        <v>33</v>
      </c>
      <c r="D54" s="16" t="s">
        <v>33</v>
      </c>
      <c r="E54" s="16">
        <v>1</v>
      </c>
      <c r="F54" s="16" t="s">
        <v>28</v>
      </c>
      <c r="G54" s="16">
        <v>3.33</v>
      </c>
      <c r="H54" s="16">
        <v>4</v>
      </c>
      <c r="I54" s="16" t="s">
        <v>18</v>
      </c>
      <c r="J54" s="16">
        <v>195</v>
      </c>
      <c r="K54" s="16">
        <v>16</v>
      </c>
      <c r="L54" s="17" t="str">
        <f t="shared" si="2"/>
        <v>2024.07.15_16</v>
      </c>
      <c r="M54" t="str">
        <f t="shared" si="3"/>
        <v>2024.07.15_16_3.33nM</v>
      </c>
    </row>
    <row r="55" spans="1:13" x14ac:dyDescent="0.2">
      <c r="A55" s="16">
        <v>17</v>
      </c>
      <c r="B55" s="4" t="s">
        <v>52</v>
      </c>
      <c r="C55" s="16" t="s">
        <v>33</v>
      </c>
      <c r="D55" s="16" t="s">
        <v>33</v>
      </c>
      <c r="E55" s="16">
        <v>1</v>
      </c>
      <c r="F55" s="16" t="s">
        <v>28</v>
      </c>
      <c r="G55" s="16">
        <v>1</v>
      </c>
      <c r="H55" s="16">
        <v>1</v>
      </c>
      <c r="I55" s="16" t="s">
        <v>12</v>
      </c>
      <c r="J55" s="16">
        <v>196</v>
      </c>
      <c r="K55" s="16">
        <v>17</v>
      </c>
      <c r="L55" s="17" t="str">
        <f t="shared" si="2"/>
        <v>2024.07.15_17</v>
      </c>
      <c r="M55" t="str">
        <f t="shared" si="3"/>
        <v>2024.07.15_17_1nM</v>
      </c>
    </row>
    <row r="56" spans="1:13" x14ac:dyDescent="0.2">
      <c r="A56" s="16">
        <v>18</v>
      </c>
      <c r="B56" s="4" t="s">
        <v>53</v>
      </c>
      <c r="C56" s="16" t="s">
        <v>33</v>
      </c>
      <c r="D56" s="16" t="s">
        <v>33</v>
      </c>
      <c r="E56" s="16">
        <v>1</v>
      </c>
      <c r="F56" s="16" t="s">
        <v>28</v>
      </c>
      <c r="G56" s="16">
        <v>1</v>
      </c>
      <c r="H56" s="16">
        <v>2</v>
      </c>
      <c r="I56" s="16" t="s">
        <v>14</v>
      </c>
      <c r="J56" s="16">
        <v>197</v>
      </c>
      <c r="K56" s="16">
        <v>18</v>
      </c>
      <c r="L56" s="17" t="str">
        <f t="shared" si="2"/>
        <v>2024.07.15_18</v>
      </c>
      <c r="M56" t="str">
        <f t="shared" si="3"/>
        <v>2024.07.15_18_1nM</v>
      </c>
    </row>
    <row r="57" spans="1:13" x14ac:dyDescent="0.2">
      <c r="A57" s="16">
        <v>19</v>
      </c>
      <c r="B57" s="4" t="s">
        <v>54</v>
      </c>
      <c r="C57" s="16" t="s">
        <v>33</v>
      </c>
      <c r="D57" s="16" t="s">
        <v>33</v>
      </c>
      <c r="E57" s="16">
        <v>1</v>
      </c>
      <c r="F57" s="16" t="s">
        <v>28</v>
      </c>
      <c r="G57" s="16">
        <v>1</v>
      </c>
      <c r="H57" s="16">
        <v>3</v>
      </c>
      <c r="I57" s="16" t="s">
        <v>16</v>
      </c>
      <c r="J57" s="16">
        <v>198</v>
      </c>
      <c r="K57" s="16">
        <v>19</v>
      </c>
      <c r="L57" s="17" t="str">
        <f t="shared" si="2"/>
        <v>2024.07.15_19</v>
      </c>
      <c r="M57" t="str">
        <f t="shared" si="3"/>
        <v>2024.07.15_19_1nM</v>
      </c>
    </row>
    <row r="58" spans="1:13" x14ac:dyDescent="0.2">
      <c r="A58" s="16">
        <v>20</v>
      </c>
      <c r="B58" s="4" t="s">
        <v>55</v>
      </c>
      <c r="C58" s="16" t="s">
        <v>33</v>
      </c>
      <c r="D58" s="16" t="s">
        <v>33</v>
      </c>
      <c r="E58" s="16">
        <v>1</v>
      </c>
      <c r="F58" s="16" t="s">
        <v>28</v>
      </c>
      <c r="G58" s="16">
        <v>1</v>
      </c>
      <c r="H58" s="16">
        <v>4</v>
      </c>
      <c r="I58" s="16" t="s">
        <v>18</v>
      </c>
      <c r="J58" s="16">
        <v>199</v>
      </c>
      <c r="K58" s="16">
        <v>20</v>
      </c>
      <c r="L58" s="17" t="str">
        <f t="shared" si="2"/>
        <v>2024.07.15_20</v>
      </c>
      <c r="M58" t="str">
        <f t="shared" si="3"/>
        <v>2024.07.15_20_1nM</v>
      </c>
    </row>
    <row r="59" spans="1:13" x14ac:dyDescent="0.2">
      <c r="A59" s="16">
        <v>21</v>
      </c>
      <c r="B59" s="4" t="s">
        <v>56</v>
      </c>
      <c r="C59" s="16" t="s">
        <v>33</v>
      </c>
      <c r="D59" s="16" t="s">
        <v>33</v>
      </c>
      <c r="E59" s="16">
        <v>1</v>
      </c>
      <c r="F59" s="16" t="s">
        <v>28</v>
      </c>
      <c r="G59" s="16">
        <v>0.33</v>
      </c>
      <c r="H59" s="16">
        <v>1</v>
      </c>
      <c r="I59" s="16" t="s">
        <v>12</v>
      </c>
      <c r="J59" s="16">
        <v>200</v>
      </c>
      <c r="K59" s="16">
        <v>21</v>
      </c>
      <c r="L59" s="17" t="str">
        <f t="shared" si="2"/>
        <v>2024.07.15_21</v>
      </c>
      <c r="M59" t="str">
        <f t="shared" si="3"/>
        <v>2024.07.15_21_0.33nM</v>
      </c>
    </row>
    <row r="60" spans="1:13" x14ac:dyDescent="0.2">
      <c r="A60" s="16">
        <v>22</v>
      </c>
      <c r="B60" s="4" t="s">
        <v>57</v>
      </c>
      <c r="C60" s="16" t="s">
        <v>33</v>
      </c>
      <c r="D60" s="16" t="s">
        <v>33</v>
      </c>
      <c r="E60" s="16">
        <v>1</v>
      </c>
      <c r="F60" s="16" t="s">
        <v>28</v>
      </c>
      <c r="G60" s="16">
        <v>0.33</v>
      </c>
      <c r="H60" s="16">
        <v>2</v>
      </c>
      <c r="I60" s="16" t="s">
        <v>14</v>
      </c>
      <c r="J60" s="16">
        <v>201</v>
      </c>
      <c r="K60" s="16">
        <v>22</v>
      </c>
      <c r="L60" s="17" t="str">
        <f t="shared" si="2"/>
        <v>2024.07.15_22</v>
      </c>
      <c r="M60" t="str">
        <f t="shared" si="3"/>
        <v>2024.07.15_22_0.33nM</v>
      </c>
    </row>
    <row r="61" spans="1:13" x14ac:dyDescent="0.2">
      <c r="A61" s="16">
        <v>23</v>
      </c>
      <c r="B61" s="4" t="s">
        <v>58</v>
      </c>
      <c r="C61" s="16" t="s">
        <v>33</v>
      </c>
      <c r="D61" s="16" t="s">
        <v>33</v>
      </c>
      <c r="E61" s="16">
        <v>1</v>
      </c>
      <c r="F61" s="16" t="s">
        <v>28</v>
      </c>
      <c r="G61" s="16">
        <v>0.33</v>
      </c>
      <c r="H61" s="16">
        <v>3</v>
      </c>
      <c r="I61" s="16" t="s">
        <v>16</v>
      </c>
      <c r="J61" s="16">
        <v>202</v>
      </c>
      <c r="K61" s="16">
        <v>23</v>
      </c>
      <c r="L61" s="17" t="str">
        <f t="shared" si="2"/>
        <v>2024.07.15_23</v>
      </c>
      <c r="M61" t="str">
        <f t="shared" si="3"/>
        <v>2024.07.15_23_0.33nM</v>
      </c>
    </row>
    <row r="62" spans="1:13" x14ac:dyDescent="0.2">
      <c r="A62" s="16">
        <v>24</v>
      </c>
      <c r="B62" s="4" t="s">
        <v>59</v>
      </c>
      <c r="C62" s="16" t="s">
        <v>33</v>
      </c>
      <c r="D62" s="16" t="s">
        <v>33</v>
      </c>
      <c r="E62" s="16">
        <v>1</v>
      </c>
      <c r="F62" s="16" t="s">
        <v>28</v>
      </c>
      <c r="G62" s="16">
        <v>0.33</v>
      </c>
      <c r="H62" s="16">
        <v>4</v>
      </c>
      <c r="I62" s="16" t="s">
        <v>18</v>
      </c>
      <c r="J62" s="16">
        <v>203</v>
      </c>
      <c r="K62" s="16">
        <v>24</v>
      </c>
      <c r="L62" s="17" t="str">
        <f t="shared" si="2"/>
        <v>2024.07.15_24</v>
      </c>
      <c r="M62" t="str">
        <f t="shared" si="3"/>
        <v>2024.07.15_24_0.33nM</v>
      </c>
    </row>
    <row r="63" spans="1:13" x14ac:dyDescent="0.2">
      <c r="A63" s="4">
        <v>25</v>
      </c>
      <c r="B63" s="4" t="s">
        <v>60</v>
      </c>
      <c r="C63" s="4" t="s">
        <v>33</v>
      </c>
      <c r="D63" s="4" t="s">
        <v>33</v>
      </c>
      <c r="E63" s="4">
        <v>1</v>
      </c>
      <c r="F63" s="4" t="s">
        <v>28</v>
      </c>
      <c r="G63" s="4">
        <v>0.1</v>
      </c>
      <c r="H63" s="4">
        <v>1</v>
      </c>
      <c r="I63" s="4" t="s">
        <v>12</v>
      </c>
      <c r="J63" s="5">
        <v>204</v>
      </c>
      <c r="K63" s="9">
        <v>25</v>
      </c>
      <c r="L63" t="str">
        <f t="shared" si="2"/>
        <v>2024.07.15_25</v>
      </c>
      <c r="M63" t="str">
        <f t="shared" si="3"/>
        <v>2024.07.15_25_0.1nM</v>
      </c>
    </row>
    <row r="64" spans="1:13" x14ac:dyDescent="0.2">
      <c r="A64" s="4">
        <v>26</v>
      </c>
      <c r="B64" s="4" t="s">
        <v>61</v>
      </c>
      <c r="C64" s="4" t="s">
        <v>33</v>
      </c>
      <c r="D64" s="4" t="s">
        <v>33</v>
      </c>
      <c r="E64" s="4">
        <v>1</v>
      </c>
      <c r="F64" s="4" t="s">
        <v>28</v>
      </c>
      <c r="G64" s="4">
        <v>0.1</v>
      </c>
      <c r="H64" s="4">
        <v>2</v>
      </c>
      <c r="I64" s="4" t="s">
        <v>14</v>
      </c>
      <c r="J64" s="5">
        <v>205</v>
      </c>
      <c r="K64" s="9">
        <v>26</v>
      </c>
      <c r="L64" t="str">
        <f t="shared" si="2"/>
        <v>2024.07.15_26</v>
      </c>
      <c r="M64" t="str">
        <f t="shared" si="3"/>
        <v>2024.07.15_26_0.1nM</v>
      </c>
    </row>
    <row r="65" spans="1:13" x14ac:dyDescent="0.2">
      <c r="A65" s="4">
        <v>27</v>
      </c>
      <c r="B65" s="4" t="s">
        <v>62</v>
      </c>
      <c r="C65" s="4" t="s">
        <v>33</v>
      </c>
      <c r="D65" s="4" t="s">
        <v>33</v>
      </c>
      <c r="E65" s="4">
        <v>1</v>
      </c>
      <c r="F65" s="4" t="s">
        <v>28</v>
      </c>
      <c r="G65" s="4">
        <v>0.1</v>
      </c>
      <c r="H65" s="4">
        <v>3</v>
      </c>
      <c r="I65" s="4" t="s">
        <v>16</v>
      </c>
      <c r="J65" s="5">
        <v>206</v>
      </c>
      <c r="K65" s="9">
        <v>27</v>
      </c>
      <c r="L65" t="str">
        <f t="shared" si="2"/>
        <v>2024.07.15_27</v>
      </c>
      <c r="M65" t="str">
        <f t="shared" si="3"/>
        <v>2024.07.15_27_0.1nM</v>
      </c>
    </row>
    <row r="66" spans="1:13" x14ac:dyDescent="0.2">
      <c r="A66" s="4">
        <v>28</v>
      </c>
      <c r="B66" s="4" t="s">
        <v>63</v>
      </c>
      <c r="C66" s="4" t="s">
        <v>33</v>
      </c>
      <c r="D66" s="4" t="s">
        <v>33</v>
      </c>
      <c r="E66" s="4">
        <v>1</v>
      </c>
      <c r="F66" s="4" t="s">
        <v>28</v>
      </c>
      <c r="G66" s="4">
        <v>0.1</v>
      </c>
      <c r="H66" s="4">
        <v>4</v>
      </c>
      <c r="I66" s="4" t="s">
        <v>18</v>
      </c>
      <c r="J66" s="5">
        <v>207</v>
      </c>
      <c r="K66" s="9">
        <v>28</v>
      </c>
      <c r="L66" t="str">
        <f t="shared" ref="L66:L75" si="4">CONCATENATE(D66,"_",A66)</f>
        <v>2024.07.15_28</v>
      </c>
      <c r="M66" t="str">
        <f t="shared" si="3"/>
        <v>2024.07.15_28_0.1nM</v>
      </c>
    </row>
    <row r="67" spans="1:13" x14ac:dyDescent="0.2">
      <c r="A67" s="4">
        <v>29</v>
      </c>
      <c r="B67" s="4" t="s">
        <v>64</v>
      </c>
      <c r="C67" s="4" t="s">
        <v>33</v>
      </c>
      <c r="D67" s="4" t="s">
        <v>33</v>
      </c>
      <c r="E67" s="4">
        <v>1</v>
      </c>
      <c r="F67" s="4" t="s">
        <v>20</v>
      </c>
      <c r="G67" s="4">
        <v>30</v>
      </c>
      <c r="H67" s="4">
        <v>1</v>
      </c>
      <c r="I67" s="4" t="s">
        <v>12</v>
      </c>
      <c r="J67" s="5">
        <v>208</v>
      </c>
      <c r="K67" s="9">
        <v>29</v>
      </c>
      <c r="L67" t="str">
        <f t="shared" si="4"/>
        <v>2024.07.15_29</v>
      </c>
      <c r="M67" t="str">
        <f>CONCATENATE(L67,"_",G67,"nM HAtag")</f>
        <v>2024.07.15_29_30nM HAtag</v>
      </c>
    </row>
    <row r="68" spans="1:13" x14ac:dyDescent="0.2">
      <c r="A68" s="4">
        <v>30</v>
      </c>
      <c r="B68" s="4" t="s">
        <v>65</v>
      </c>
      <c r="C68" s="4" t="s">
        <v>33</v>
      </c>
      <c r="D68" s="4" t="s">
        <v>33</v>
      </c>
      <c r="E68" s="4">
        <v>1</v>
      </c>
      <c r="F68" s="4" t="s">
        <v>20</v>
      </c>
      <c r="G68" s="4">
        <v>30</v>
      </c>
      <c r="H68" s="4">
        <v>2</v>
      </c>
      <c r="I68" s="4" t="s">
        <v>14</v>
      </c>
      <c r="J68" s="5">
        <v>209</v>
      </c>
      <c r="K68" s="9">
        <v>30</v>
      </c>
      <c r="L68" t="str">
        <f t="shared" si="4"/>
        <v>2024.07.15_30</v>
      </c>
      <c r="M68" t="str">
        <f>CONCATENATE(L68,"_",G68,"nM HAtag")</f>
        <v>2024.07.15_30_30nM HAtag</v>
      </c>
    </row>
    <row r="69" spans="1:13" x14ac:dyDescent="0.2">
      <c r="A69" s="4">
        <v>31</v>
      </c>
      <c r="B69" s="4" t="s">
        <v>66</v>
      </c>
      <c r="C69" s="4" t="s">
        <v>33</v>
      </c>
      <c r="D69" s="4" t="s">
        <v>33</v>
      </c>
      <c r="E69" s="4">
        <v>1</v>
      </c>
      <c r="F69" s="4" t="s">
        <v>20</v>
      </c>
      <c r="G69" s="4">
        <v>30</v>
      </c>
      <c r="H69" s="4">
        <v>3</v>
      </c>
      <c r="I69" s="4" t="s">
        <v>16</v>
      </c>
      <c r="J69" s="5">
        <v>210</v>
      </c>
      <c r="K69" s="9">
        <v>31</v>
      </c>
      <c r="L69" t="str">
        <f t="shared" si="4"/>
        <v>2024.07.15_31</v>
      </c>
      <c r="M69" t="str">
        <f>CONCATENATE(L69,"_",G69,"nM HAtag")</f>
        <v>2024.07.15_31_30nM HAtag</v>
      </c>
    </row>
    <row r="70" spans="1:13" ht="17" thickBot="1" x14ac:dyDescent="0.25">
      <c r="A70" s="4">
        <v>32</v>
      </c>
      <c r="B70" s="4" t="s">
        <v>67</v>
      </c>
      <c r="C70" s="4" t="s">
        <v>33</v>
      </c>
      <c r="D70" s="4" t="s">
        <v>33</v>
      </c>
      <c r="E70" s="4">
        <v>1</v>
      </c>
      <c r="F70" s="4" t="s">
        <v>20</v>
      </c>
      <c r="G70" s="4">
        <v>30</v>
      </c>
      <c r="H70" s="4">
        <v>4</v>
      </c>
      <c r="I70" s="4" t="s">
        <v>18</v>
      </c>
      <c r="J70" s="5">
        <v>211</v>
      </c>
      <c r="K70" s="10">
        <v>32</v>
      </c>
      <c r="L70" t="str">
        <f t="shared" si="4"/>
        <v>2024.07.15_32</v>
      </c>
      <c r="M70" t="str">
        <f>CONCATENATE(L70,"_",G70,"nM HAtag")</f>
        <v>2024.07.15_32_30nM HAtag</v>
      </c>
    </row>
    <row r="71" spans="1:13" x14ac:dyDescent="0.2">
      <c r="A71" s="4" t="s">
        <v>13</v>
      </c>
      <c r="B71" s="4" t="s">
        <v>68</v>
      </c>
      <c r="C71" s="4" t="s">
        <v>33</v>
      </c>
      <c r="D71" s="4" t="s">
        <v>33</v>
      </c>
      <c r="E71" s="4">
        <v>1</v>
      </c>
      <c r="F71" s="4" t="s">
        <v>28</v>
      </c>
      <c r="G71" s="4">
        <v>3.3000000000000002E-2</v>
      </c>
      <c r="H71" s="4">
        <v>1</v>
      </c>
      <c r="I71" s="4" t="s">
        <v>12</v>
      </c>
      <c r="J71" s="5">
        <v>212</v>
      </c>
      <c r="K71" s="11" t="s">
        <v>13</v>
      </c>
      <c r="L71" t="str">
        <f t="shared" si="4"/>
        <v>2024.07.15_A</v>
      </c>
      <c r="M71" t="str">
        <f>CONCATENATE(L71,"_",G71,"nM")</f>
        <v>2024.07.15_A_0.033nM</v>
      </c>
    </row>
    <row r="72" spans="1:13" x14ac:dyDescent="0.2">
      <c r="A72" s="4" t="s">
        <v>15</v>
      </c>
      <c r="B72" s="4" t="s">
        <v>69</v>
      </c>
      <c r="C72" s="4" t="s">
        <v>33</v>
      </c>
      <c r="D72" s="4" t="s">
        <v>33</v>
      </c>
      <c r="E72" s="4">
        <v>1</v>
      </c>
      <c r="F72" s="4" t="s">
        <v>28</v>
      </c>
      <c r="G72" s="4">
        <v>3.3000000000000002E-2</v>
      </c>
      <c r="H72" s="4">
        <v>2</v>
      </c>
      <c r="I72" s="4" t="s">
        <v>14</v>
      </c>
      <c r="J72" s="5">
        <v>213</v>
      </c>
      <c r="K72" s="12" t="s">
        <v>15</v>
      </c>
      <c r="L72" t="str">
        <f t="shared" si="4"/>
        <v>2024.07.15_B</v>
      </c>
      <c r="M72" t="str">
        <f>CONCATENATE(L72,"_",G72,"nM")</f>
        <v>2024.07.15_B_0.033nM</v>
      </c>
    </row>
    <row r="73" spans="1:13" x14ac:dyDescent="0.2">
      <c r="A73" s="4" t="s">
        <v>17</v>
      </c>
      <c r="B73" s="4" t="s">
        <v>70</v>
      </c>
      <c r="C73" s="4" t="s">
        <v>33</v>
      </c>
      <c r="D73" s="4" t="s">
        <v>33</v>
      </c>
      <c r="E73" s="4">
        <v>1</v>
      </c>
      <c r="F73" s="4" t="s">
        <v>28</v>
      </c>
      <c r="G73" s="4">
        <v>3.3000000000000002E-2</v>
      </c>
      <c r="H73" s="4">
        <v>3</v>
      </c>
      <c r="I73" s="4" t="s">
        <v>16</v>
      </c>
      <c r="J73" s="5">
        <v>214</v>
      </c>
      <c r="K73" s="12" t="s">
        <v>17</v>
      </c>
      <c r="L73" t="str">
        <f t="shared" si="4"/>
        <v>2024.07.15_C</v>
      </c>
      <c r="M73" t="str">
        <f>CONCATENATE(L73,"_",G73,"nM")</f>
        <v>2024.07.15_C_0.033nM</v>
      </c>
    </row>
    <row r="74" spans="1:13" x14ac:dyDescent="0.2">
      <c r="A74" s="4" t="s">
        <v>19</v>
      </c>
      <c r="B74" s="4" t="s">
        <v>71</v>
      </c>
      <c r="C74" s="4" t="s">
        <v>33</v>
      </c>
      <c r="D74" s="4" t="s">
        <v>33</v>
      </c>
      <c r="E74" s="4">
        <v>1</v>
      </c>
      <c r="F74" s="4" t="s">
        <v>28</v>
      </c>
      <c r="G74" s="4">
        <v>3.3000000000000002E-2</v>
      </c>
      <c r="H74" s="4">
        <v>4</v>
      </c>
      <c r="I74" s="4" t="s">
        <v>18</v>
      </c>
      <c r="J74" s="5">
        <v>215</v>
      </c>
      <c r="K74" s="12" t="s">
        <v>19</v>
      </c>
      <c r="L74" t="str">
        <f t="shared" si="4"/>
        <v>2024.07.15_D</v>
      </c>
      <c r="M74" t="str">
        <f>CONCATENATE(L74,"_",G74,"nM")</f>
        <v>2024.07.15_D_0.033nM</v>
      </c>
    </row>
    <row r="75" spans="1:13" ht="17" thickBot="1" x14ac:dyDescent="0.25">
      <c r="A75" s="5" t="s">
        <v>29</v>
      </c>
      <c r="B75" s="5" t="s">
        <v>108</v>
      </c>
      <c r="C75" s="4" t="s">
        <v>33</v>
      </c>
      <c r="D75" s="4" t="s">
        <v>33</v>
      </c>
      <c r="E75" s="4">
        <v>1</v>
      </c>
      <c r="F75" s="5" t="s">
        <v>34</v>
      </c>
      <c r="G75" s="5" t="s">
        <v>34</v>
      </c>
      <c r="H75" s="5" t="s">
        <v>34</v>
      </c>
      <c r="I75" s="5" t="s">
        <v>34</v>
      </c>
      <c r="J75" s="5">
        <v>216</v>
      </c>
      <c r="K75" s="14" t="s">
        <v>29</v>
      </c>
      <c r="L75" t="str">
        <f t="shared" si="4"/>
        <v>2024.07.15_pre</v>
      </c>
      <c r="M75" t="str">
        <f>CONCATENATE(L75,"_",G75,"nM")</f>
        <v>2024.07.15_pre_N/AnM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CAFAE-775B-614B-BB63-D9F08D1F98E5}">
  <dimension ref="A1:M75"/>
  <sheetViews>
    <sheetView workbookViewId="0">
      <selection activeCell="B1" sqref="B1"/>
    </sheetView>
  </sheetViews>
  <sheetFormatPr baseColWidth="10" defaultRowHeight="16" x14ac:dyDescent="0.2"/>
  <cols>
    <col min="12" max="12" width="13.6640625" bestFit="1" customWidth="1"/>
    <col min="13" max="13" width="23.83203125" bestFit="1" customWidth="1"/>
  </cols>
  <sheetData>
    <row r="1" spans="1:13" ht="52" thickBot="1" x14ac:dyDescent="0.25">
      <c r="A1" s="1" t="s">
        <v>0</v>
      </c>
      <c r="B1" s="1" t="s">
        <v>110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3" t="s">
        <v>0</v>
      </c>
      <c r="M1" s="18" t="s">
        <v>35</v>
      </c>
    </row>
    <row r="2" spans="1:13" x14ac:dyDescent="0.2">
      <c r="A2" s="4">
        <v>1</v>
      </c>
      <c r="B2" s="4" t="s">
        <v>36</v>
      </c>
      <c r="C2" s="5" t="s">
        <v>22</v>
      </c>
      <c r="D2" s="5" t="s">
        <v>23</v>
      </c>
      <c r="E2" s="4">
        <v>1</v>
      </c>
      <c r="F2" s="4" t="s">
        <v>24</v>
      </c>
      <c r="G2" s="4">
        <v>200</v>
      </c>
      <c r="H2" s="4">
        <v>1</v>
      </c>
      <c r="I2" s="4" t="s">
        <v>12</v>
      </c>
      <c r="J2" s="5">
        <v>73</v>
      </c>
      <c r="K2" s="7">
        <v>1</v>
      </c>
      <c r="L2" t="str">
        <f t="shared" ref="L2:L33" si="0">CONCATENATE(D2,"_",A2)</f>
        <v>2024.07.31_1</v>
      </c>
      <c r="M2" t="str">
        <f t="shared" ref="M2:M29" si="1">CONCATENATE(L2,"_",G2,"nM")</f>
        <v>2024.07.31_1_200nM</v>
      </c>
    </row>
    <row r="3" spans="1:13" x14ac:dyDescent="0.2">
      <c r="A3" s="4">
        <v>2</v>
      </c>
      <c r="B3" s="4" t="s">
        <v>37</v>
      </c>
      <c r="C3" s="5" t="s">
        <v>22</v>
      </c>
      <c r="D3" s="5" t="s">
        <v>23</v>
      </c>
      <c r="E3" s="4">
        <v>1</v>
      </c>
      <c r="F3" s="4" t="s">
        <v>24</v>
      </c>
      <c r="G3" s="4">
        <v>200</v>
      </c>
      <c r="H3" s="4">
        <v>2</v>
      </c>
      <c r="I3" s="4" t="s">
        <v>14</v>
      </c>
      <c r="J3" s="5">
        <v>74</v>
      </c>
      <c r="K3" s="7">
        <v>2</v>
      </c>
      <c r="L3" t="str">
        <f t="shared" si="0"/>
        <v>2024.07.31_2</v>
      </c>
      <c r="M3" t="str">
        <f t="shared" si="1"/>
        <v>2024.07.31_2_200nM</v>
      </c>
    </row>
    <row r="4" spans="1:13" x14ac:dyDescent="0.2">
      <c r="A4" s="4">
        <v>3</v>
      </c>
      <c r="B4" s="4" t="s">
        <v>38</v>
      </c>
      <c r="C4" s="5" t="s">
        <v>22</v>
      </c>
      <c r="D4" s="5" t="s">
        <v>23</v>
      </c>
      <c r="E4" s="4">
        <v>1</v>
      </c>
      <c r="F4" s="4" t="s">
        <v>24</v>
      </c>
      <c r="G4" s="4">
        <v>200</v>
      </c>
      <c r="H4" s="4">
        <v>3</v>
      </c>
      <c r="I4" s="4" t="s">
        <v>16</v>
      </c>
      <c r="J4" s="5">
        <v>75</v>
      </c>
      <c r="K4" s="7">
        <v>3</v>
      </c>
      <c r="L4" t="str">
        <f t="shared" si="0"/>
        <v>2024.07.31_3</v>
      </c>
      <c r="M4" t="str">
        <f t="shared" si="1"/>
        <v>2024.07.31_3_200nM</v>
      </c>
    </row>
    <row r="5" spans="1:13" x14ac:dyDescent="0.2">
      <c r="A5" s="4">
        <v>4</v>
      </c>
      <c r="B5" s="4" t="s">
        <v>39</v>
      </c>
      <c r="C5" s="5" t="s">
        <v>22</v>
      </c>
      <c r="D5" s="5" t="s">
        <v>23</v>
      </c>
      <c r="E5" s="4">
        <v>1</v>
      </c>
      <c r="F5" s="4" t="s">
        <v>24</v>
      </c>
      <c r="G5" s="4">
        <v>200</v>
      </c>
      <c r="H5" s="4">
        <v>4</v>
      </c>
      <c r="I5" s="4" t="s">
        <v>18</v>
      </c>
      <c r="J5" s="5">
        <v>76</v>
      </c>
      <c r="K5" s="7">
        <v>4</v>
      </c>
      <c r="L5" t="str">
        <f t="shared" si="0"/>
        <v>2024.07.31_4</v>
      </c>
      <c r="M5" t="str">
        <f t="shared" si="1"/>
        <v>2024.07.31_4_200nM</v>
      </c>
    </row>
    <row r="6" spans="1:13" x14ac:dyDescent="0.2">
      <c r="A6" s="4">
        <v>5</v>
      </c>
      <c r="B6" s="4" t="s">
        <v>40</v>
      </c>
      <c r="C6" s="5" t="s">
        <v>22</v>
      </c>
      <c r="D6" s="5" t="s">
        <v>23</v>
      </c>
      <c r="E6" s="4">
        <v>1</v>
      </c>
      <c r="F6" s="4" t="s">
        <v>24</v>
      </c>
      <c r="G6" s="4">
        <v>67</v>
      </c>
      <c r="H6" s="4">
        <v>1</v>
      </c>
      <c r="I6" s="4" t="s">
        <v>12</v>
      </c>
      <c r="J6" s="5">
        <v>77</v>
      </c>
      <c r="K6" s="7">
        <v>5</v>
      </c>
      <c r="L6" t="str">
        <f t="shared" si="0"/>
        <v>2024.07.31_5</v>
      </c>
      <c r="M6" t="str">
        <f t="shared" si="1"/>
        <v>2024.07.31_5_67nM</v>
      </c>
    </row>
    <row r="7" spans="1:13" x14ac:dyDescent="0.2">
      <c r="A7" s="4">
        <v>6</v>
      </c>
      <c r="B7" s="4" t="s">
        <v>41</v>
      </c>
      <c r="C7" s="5" t="s">
        <v>22</v>
      </c>
      <c r="D7" s="5" t="s">
        <v>23</v>
      </c>
      <c r="E7" s="4">
        <v>1</v>
      </c>
      <c r="F7" s="4" t="s">
        <v>24</v>
      </c>
      <c r="G7" s="4">
        <v>67</v>
      </c>
      <c r="H7" s="4">
        <v>2</v>
      </c>
      <c r="I7" s="4" t="s">
        <v>14</v>
      </c>
      <c r="J7" s="5">
        <v>78</v>
      </c>
      <c r="K7" s="7">
        <v>6</v>
      </c>
      <c r="L7" t="str">
        <f t="shared" si="0"/>
        <v>2024.07.31_6</v>
      </c>
      <c r="M7" t="str">
        <f t="shared" si="1"/>
        <v>2024.07.31_6_67nM</v>
      </c>
    </row>
    <row r="8" spans="1:13" x14ac:dyDescent="0.2">
      <c r="A8" s="4">
        <v>7</v>
      </c>
      <c r="B8" s="4" t="s">
        <v>42</v>
      </c>
      <c r="C8" s="5" t="s">
        <v>22</v>
      </c>
      <c r="D8" s="5" t="s">
        <v>23</v>
      </c>
      <c r="E8" s="4">
        <v>1</v>
      </c>
      <c r="F8" s="4" t="s">
        <v>24</v>
      </c>
      <c r="G8" s="4">
        <v>67</v>
      </c>
      <c r="H8" s="4">
        <v>3</v>
      </c>
      <c r="I8" s="4" t="s">
        <v>16</v>
      </c>
      <c r="J8" s="5">
        <v>79</v>
      </c>
      <c r="K8" s="7">
        <v>7</v>
      </c>
      <c r="L8" t="str">
        <f t="shared" si="0"/>
        <v>2024.07.31_7</v>
      </c>
      <c r="M8" t="str">
        <f t="shared" si="1"/>
        <v>2024.07.31_7_67nM</v>
      </c>
    </row>
    <row r="9" spans="1:13" x14ac:dyDescent="0.2">
      <c r="A9" s="4">
        <v>8</v>
      </c>
      <c r="B9" s="4" t="s">
        <v>43</v>
      </c>
      <c r="C9" s="5" t="s">
        <v>22</v>
      </c>
      <c r="D9" s="5" t="s">
        <v>23</v>
      </c>
      <c r="E9" s="4">
        <v>1</v>
      </c>
      <c r="F9" s="4" t="s">
        <v>24</v>
      </c>
      <c r="G9" s="4">
        <v>67</v>
      </c>
      <c r="H9" s="4">
        <v>4</v>
      </c>
      <c r="I9" s="4" t="s">
        <v>18</v>
      </c>
      <c r="J9" s="5">
        <v>80</v>
      </c>
      <c r="K9" s="7">
        <v>8</v>
      </c>
      <c r="L9" t="str">
        <f t="shared" si="0"/>
        <v>2024.07.31_8</v>
      </c>
      <c r="M9" t="str">
        <f t="shared" si="1"/>
        <v>2024.07.31_8_67nM</v>
      </c>
    </row>
    <row r="10" spans="1:13" x14ac:dyDescent="0.2">
      <c r="A10" s="4">
        <v>9</v>
      </c>
      <c r="B10" s="4" t="s">
        <v>44</v>
      </c>
      <c r="C10" s="5" t="s">
        <v>22</v>
      </c>
      <c r="D10" s="5" t="s">
        <v>23</v>
      </c>
      <c r="E10" s="4">
        <v>1</v>
      </c>
      <c r="F10" s="4" t="s">
        <v>24</v>
      </c>
      <c r="G10" s="4">
        <v>20</v>
      </c>
      <c r="H10" s="4">
        <v>1</v>
      </c>
      <c r="I10" s="4" t="s">
        <v>12</v>
      </c>
      <c r="J10" s="5">
        <v>81</v>
      </c>
      <c r="K10" s="7">
        <v>9</v>
      </c>
      <c r="L10" t="str">
        <f t="shared" si="0"/>
        <v>2024.07.31_9</v>
      </c>
      <c r="M10" t="str">
        <f t="shared" si="1"/>
        <v>2024.07.31_9_20nM</v>
      </c>
    </row>
    <row r="11" spans="1:13" x14ac:dyDescent="0.2">
      <c r="A11" s="4">
        <v>10</v>
      </c>
      <c r="B11" s="4" t="s">
        <v>45</v>
      </c>
      <c r="C11" s="5" t="s">
        <v>22</v>
      </c>
      <c r="D11" s="5" t="s">
        <v>23</v>
      </c>
      <c r="E11" s="4">
        <v>1</v>
      </c>
      <c r="F11" s="4" t="s">
        <v>24</v>
      </c>
      <c r="G11" s="4">
        <v>20</v>
      </c>
      <c r="H11" s="4">
        <v>2</v>
      </c>
      <c r="I11" s="4" t="s">
        <v>14</v>
      </c>
      <c r="J11" s="5">
        <v>82</v>
      </c>
      <c r="K11" s="7">
        <v>10</v>
      </c>
      <c r="L11" t="str">
        <f t="shared" si="0"/>
        <v>2024.07.31_10</v>
      </c>
      <c r="M11" t="str">
        <f t="shared" si="1"/>
        <v>2024.07.31_10_20nM</v>
      </c>
    </row>
    <row r="12" spans="1:13" x14ac:dyDescent="0.2">
      <c r="A12" s="4">
        <v>11</v>
      </c>
      <c r="B12" s="4" t="s">
        <v>46</v>
      </c>
      <c r="C12" s="5" t="s">
        <v>22</v>
      </c>
      <c r="D12" s="5" t="s">
        <v>23</v>
      </c>
      <c r="E12" s="4">
        <v>1</v>
      </c>
      <c r="F12" s="4" t="s">
        <v>24</v>
      </c>
      <c r="G12" s="4">
        <v>20</v>
      </c>
      <c r="H12" s="4">
        <v>3</v>
      </c>
      <c r="I12" s="4" t="s">
        <v>16</v>
      </c>
      <c r="J12" s="5">
        <v>83</v>
      </c>
      <c r="K12" s="7">
        <v>11</v>
      </c>
      <c r="L12" t="str">
        <f t="shared" si="0"/>
        <v>2024.07.31_11</v>
      </c>
      <c r="M12" t="str">
        <f t="shared" si="1"/>
        <v>2024.07.31_11_20nM</v>
      </c>
    </row>
    <row r="13" spans="1:13" x14ac:dyDescent="0.2">
      <c r="A13" s="4">
        <v>12</v>
      </c>
      <c r="B13" s="4" t="s">
        <v>47</v>
      </c>
      <c r="C13" s="5" t="s">
        <v>22</v>
      </c>
      <c r="D13" s="5" t="s">
        <v>23</v>
      </c>
      <c r="E13" s="4">
        <v>1</v>
      </c>
      <c r="F13" s="4" t="s">
        <v>24</v>
      </c>
      <c r="G13" s="4">
        <v>20</v>
      </c>
      <c r="H13" s="4">
        <v>4</v>
      </c>
      <c r="I13" s="4" t="s">
        <v>18</v>
      </c>
      <c r="J13" s="5">
        <v>84</v>
      </c>
      <c r="K13" s="7">
        <v>12</v>
      </c>
      <c r="L13" t="str">
        <f t="shared" si="0"/>
        <v>2024.07.31_12</v>
      </c>
      <c r="M13" t="str">
        <f t="shared" si="1"/>
        <v>2024.07.31_12_20nM</v>
      </c>
    </row>
    <row r="14" spans="1:13" x14ac:dyDescent="0.2">
      <c r="A14" s="4">
        <v>13</v>
      </c>
      <c r="B14" s="4" t="s">
        <v>48</v>
      </c>
      <c r="C14" s="5" t="s">
        <v>22</v>
      </c>
      <c r="D14" s="5" t="s">
        <v>23</v>
      </c>
      <c r="E14" s="4">
        <v>1</v>
      </c>
      <c r="F14" s="4" t="s">
        <v>24</v>
      </c>
      <c r="G14" s="4">
        <v>6.7</v>
      </c>
      <c r="H14" s="4">
        <v>1</v>
      </c>
      <c r="I14" s="4" t="s">
        <v>12</v>
      </c>
      <c r="J14" s="5">
        <v>85</v>
      </c>
      <c r="K14" s="7">
        <v>13</v>
      </c>
      <c r="L14" t="str">
        <f t="shared" si="0"/>
        <v>2024.07.31_13</v>
      </c>
      <c r="M14" t="str">
        <f t="shared" si="1"/>
        <v>2024.07.31_13_6.7nM</v>
      </c>
    </row>
    <row r="15" spans="1:13" x14ac:dyDescent="0.2">
      <c r="A15" s="4">
        <v>14</v>
      </c>
      <c r="B15" s="4" t="s">
        <v>49</v>
      </c>
      <c r="C15" s="5" t="s">
        <v>22</v>
      </c>
      <c r="D15" s="5" t="s">
        <v>23</v>
      </c>
      <c r="E15" s="4">
        <v>1</v>
      </c>
      <c r="F15" s="4" t="s">
        <v>24</v>
      </c>
      <c r="G15" s="4">
        <v>6.7</v>
      </c>
      <c r="H15" s="4">
        <v>2</v>
      </c>
      <c r="I15" s="4" t="s">
        <v>14</v>
      </c>
      <c r="J15" s="5">
        <v>86</v>
      </c>
      <c r="K15" s="7">
        <v>14</v>
      </c>
      <c r="L15" t="str">
        <f t="shared" si="0"/>
        <v>2024.07.31_14</v>
      </c>
      <c r="M15" t="str">
        <f t="shared" si="1"/>
        <v>2024.07.31_14_6.7nM</v>
      </c>
    </row>
    <row r="16" spans="1:13" x14ac:dyDescent="0.2">
      <c r="A16" s="4">
        <v>15</v>
      </c>
      <c r="B16" s="4" t="s">
        <v>50</v>
      </c>
      <c r="C16" s="5" t="s">
        <v>22</v>
      </c>
      <c r="D16" s="5" t="s">
        <v>23</v>
      </c>
      <c r="E16" s="4">
        <v>1</v>
      </c>
      <c r="F16" s="4" t="s">
        <v>24</v>
      </c>
      <c r="G16" s="4">
        <v>6.7</v>
      </c>
      <c r="H16" s="4">
        <v>3</v>
      </c>
      <c r="I16" s="4" t="s">
        <v>16</v>
      </c>
      <c r="J16" s="5">
        <v>87</v>
      </c>
      <c r="K16" s="7">
        <v>15</v>
      </c>
      <c r="L16" t="str">
        <f t="shared" si="0"/>
        <v>2024.07.31_15</v>
      </c>
      <c r="M16" t="str">
        <f t="shared" si="1"/>
        <v>2024.07.31_15_6.7nM</v>
      </c>
    </row>
    <row r="17" spans="1:13" x14ac:dyDescent="0.2">
      <c r="A17" s="4">
        <v>16</v>
      </c>
      <c r="B17" s="4" t="s">
        <v>51</v>
      </c>
      <c r="C17" s="5" t="s">
        <v>22</v>
      </c>
      <c r="D17" s="5" t="s">
        <v>23</v>
      </c>
      <c r="E17" s="4">
        <v>1</v>
      </c>
      <c r="F17" s="4" t="s">
        <v>24</v>
      </c>
      <c r="G17" s="4">
        <v>6.7</v>
      </c>
      <c r="H17" s="4">
        <v>4</v>
      </c>
      <c r="I17" s="4" t="s">
        <v>18</v>
      </c>
      <c r="J17" s="5">
        <v>88</v>
      </c>
      <c r="K17" s="7">
        <v>16</v>
      </c>
      <c r="L17" t="str">
        <f t="shared" si="0"/>
        <v>2024.07.31_16</v>
      </c>
      <c r="M17" t="str">
        <f t="shared" si="1"/>
        <v>2024.07.31_16_6.7nM</v>
      </c>
    </row>
    <row r="18" spans="1:13" x14ac:dyDescent="0.2">
      <c r="A18" s="4">
        <v>17</v>
      </c>
      <c r="B18" s="4" t="s">
        <v>52</v>
      </c>
      <c r="C18" s="5" t="s">
        <v>22</v>
      </c>
      <c r="D18" s="5" t="s">
        <v>23</v>
      </c>
      <c r="E18" s="4">
        <v>1</v>
      </c>
      <c r="F18" s="4" t="s">
        <v>24</v>
      </c>
      <c r="G18" s="4">
        <v>2</v>
      </c>
      <c r="H18" s="4">
        <v>1</v>
      </c>
      <c r="I18" s="4" t="s">
        <v>12</v>
      </c>
      <c r="J18" s="5">
        <v>89</v>
      </c>
      <c r="K18" s="7">
        <v>17</v>
      </c>
      <c r="L18" t="str">
        <f t="shared" si="0"/>
        <v>2024.07.31_17</v>
      </c>
      <c r="M18" t="str">
        <f t="shared" si="1"/>
        <v>2024.07.31_17_2nM</v>
      </c>
    </row>
    <row r="19" spans="1:13" x14ac:dyDescent="0.2">
      <c r="A19" s="4">
        <v>18</v>
      </c>
      <c r="B19" s="4" t="s">
        <v>53</v>
      </c>
      <c r="C19" s="5" t="s">
        <v>22</v>
      </c>
      <c r="D19" s="5" t="s">
        <v>23</v>
      </c>
      <c r="E19" s="4">
        <v>1</v>
      </c>
      <c r="F19" s="4" t="s">
        <v>24</v>
      </c>
      <c r="G19" s="4">
        <v>2</v>
      </c>
      <c r="H19" s="4">
        <v>2</v>
      </c>
      <c r="I19" s="4" t="s">
        <v>14</v>
      </c>
      <c r="J19" s="5">
        <v>90</v>
      </c>
      <c r="K19" s="7">
        <v>18</v>
      </c>
      <c r="L19" t="str">
        <f t="shared" si="0"/>
        <v>2024.07.31_18</v>
      </c>
      <c r="M19" t="str">
        <f t="shared" si="1"/>
        <v>2024.07.31_18_2nM</v>
      </c>
    </row>
    <row r="20" spans="1:13" x14ac:dyDescent="0.2">
      <c r="A20" s="4">
        <v>19</v>
      </c>
      <c r="B20" s="4" t="s">
        <v>54</v>
      </c>
      <c r="C20" s="5" t="s">
        <v>22</v>
      </c>
      <c r="D20" s="5" t="s">
        <v>23</v>
      </c>
      <c r="E20" s="4">
        <v>1</v>
      </c>
      <c r="F20" s="4" t="s">
        <v>24</v>
      </c>
      <c r="G20" s="4">
        <v>2</v>
      </c>
      <c r="H20" s="4">
        <v>3</v>
      </c>
      <c r="I20" s="4" t="s">
        <v>16</v>
      </c>
      <c r="J20" s="5">
        <v>91</v>
      </c>
      <c r="K20" s="7">
        <v>19</v>
      </c>
      <c r="L20" t="str">
        <f t="shared" si="0"/>
        <v>2024.07.31_19</v>
      </c>
      <c r="M20" t="str">
        <f t="shared" si="1"/>
        <v>2024.07.31_19_2nM</v>
      </c>
    </row>
    <row r="21" spans="1:13" x14ac:dyDescent="0.2">
      <c r="A21" s="4">
        <v>20</v>
      </c>
      <c r="B21" s="4" t="s">
        <v>55</v>
      </c>
      <c r="C21" s="5" t="s">
        <v>22</v>
      </c>
      <c r="D21" s="5" t="s">
        <v>23</v>
      </c>
      <c r="E21" s="4">
        <v>1</v>
      </c>
      <c r="F21" s="4" t="s">
        <v>24</v>
      </c>
      <c r="G21" s="4">
        <v>2</v>
      </c>
      <c r="H21" s="4">
        <v>4</v>
      </c>
      <c r="I21" s="4" t="s">
        <v>18</v>
      </c>
      <c r="J21" s="5">
        <v>92</v>
      </c>
      <c r="K21" s="7">
        <v>20</v>
      </c>
      <c r="L21" t="str">
        <f t="shared" si="0"/>
        <v>2024.07.31_20</v>
      </c>
      <c r="M21" t="str">
        <f t="shared" si="1"/>
        <v>2024.07.31_20_2nM</v>
      </c>
    </row>
    <row r="22" spans="1:13" x14ac:dyDescent="0.2">
      <c r="A22" s="4">
        <v>21</v>
      </c>
      <c r="B22" s="4" t="s">
        <v>56</v>
      </c>
      <c r="C22" s="5" t="s">
        <v>22</v>
      </c>
      <c r="D22" s="5" t="s">
        <v>23</v>
      </c>
      <c r="E22" s="4">
        <v>1</v>
      </c>
      <c r="F22" s="4" t="s">
        <v>24</v>
      </c>
      <c r="G22" s="4">
        <v>0.67</v>
      </c>
      <c r="H22" s="4">
        <v>1</v>
      </c>
      <c r="I22" s="4" t="s">
        <v>12</v>
      </c>
      <c r="J22" s="5">
        <v>93</v>
      </c>
      <c r="K22" s="7">
        <v>21</v>
      </c>
      <c r="L22" t="str">
        <f t="shared" si="0"/>
        <v>2024.07.31_21</v>
      </c>
      <c r="M22" t="str">
        <f t="shared" si="1"/>
        <v>2024.07.31_21_0.67nM</v>
      </c>
    </row>
    <row r="23" spans="1:13" x14ac:dyDescent="0.2">
      <c r="A23" s="4">
        <v>22</v>
      </c>
      <c r="B23" s="4" t="s">
        <v>57</v>
      </c>
      <c r="C23" s="5" t="s">
        <v>22</v>
      </c>
      <c r="D23" s="5" t="s">
        <v>23</v>
      </c>
      <c r="E23" s="4">
        <v>1</v>
      </c>
      <c r="F23" s="4" t="s">
        <v>24</v>
      </c>
      <c r="G23" s="4">
        <v>0.67</v>
      </c>
      <c r="H23" s="4">
        <v>2</v>
      </c>
      <c r="I23" s="4" t="s">
        <v>14</v>
      </c>
      <c r="J23" s="5">
        <v>94</v>
      </c>
      <c r="K23" s="7">
        <v>22</v>
      </c>
      <c r="L23" t="str">
        <f t="shared" si="0"/>
        <v>2024.07.31_22</v>
      </c>
      <c r="M23" t="str">
        <f t="shared" si="1"/>
        <v>2024.07.31_22_0.67nM</v>
      </c>
    </row>
    <row r="24" spans="1:13" x14ac:dyDescent="0.2">
      <c r="A24" s="4">
        <v>23</v>
      </c>
      <c r="B24" s="4" t="s">
        <v>58</v>
      </c>
      <c r="C24" s="5" t="s">
        <v>22</v>
      </c>
      <c r="D24" s="5" t="s">
        <v>23</v>
      </c>
      <c r="E24" s="4">
        <v>1</v>
      </c>
      <c r="F24" s="4" t="s">
        <v>24</v>
      </c>
      <c r="G24" s="4">
        <v>0.67</v>
      </c>
      <c r="H24" s="4">
        <v>3</v>
      </c>
      <c r="I24" s="4" t="s">
        <v>16</v>
      </c>
      <c r="J24" s="5">
        <v>95</v>
      </c>
      <c r="K24" s="7">
        <v>23</v>
      </c>
      <c r="L24" t="str">
        <f t="shared" si="0"/>
        <v>2024.07.31_23</v>
      </c>
      <c r="M24" t="str">
        <f t="shared" si="1"/>
        <v>2024.07.31_23_0.67nM</v>
      </c>
    </row>
    <row r="25" spans="1:13" x14ac:dyDescent="0.2">
      <c r="A25" s="4">
        <v>24</v>
      </c>
      <c r="B25" s="4" t="s">
        <v>59</v>
      </c>
      <c r="C25" s="5" t="s">
        <v>22</v>
      </c>
      <c r="D25" s="5" t="s">
        <v>23</v>
      </c>
      <c r="E25" s="4">
        <v>1</v>
      </c>
      <c r="F25" s="4" t="s">
        <v>24</v>
      </c>
      <c r="G25" s="4">
        <v>0.67</v>
      </c>
      <c r="H25" s="4">
        <v>4</v>
      </c>
      <c r="I25" s="4" t="s">
        <v>18</v>
      </c>
      <c r="J25" s="5">
        <v>96</v>
      </c>
      <c r="K25" s="7">
        <v>24</v>
      </c>
      <c r="L25" t="str">
        <f t="shared" si="0"/>
        <v>2024.07.31_24</v>
      </c>
      <c r="M25" t="str">
        <f t="shared" si="1"/>
        <v>2024.07.31_24_0.67nM</v>
      </c>
    </row>
    <row r="26" spans="1:13" x14ac:dyDescent="0.2">
      <c r="A26" s="4">
        <v>25</v>
      </c>
      <c r="B26" s="4" t="s">
        <v>60</v>
      </c>
      <c r="C26" s="5" t="s">
        <v>22</v>
      </c>
      <c r="D26" s="5" t="s">
        <v>23</v>
      </c>
      <c r="E26" s="4">
        <v>1</v>
      </c>
      <c r="F26" s="4" t="s">
        <v>24</v>
      </c>
      <c r="G26" s="4">
        <v>0.2</v>
      </c>
      <c r="H26" s="4">
        <v>1</v>
      </c>
      <c r="I26" s="4" t="s">
        <v>12</v>
      </c>
      <c r="J26" s="5">
        <v>97</v>
      </c>
      <c r="K26" s="7">
        <v>25</v>
      </c>
      <c r="L26" t="str">
        <f t="shared" si="0"/>
        <v>2024.07.31_25</v>
      </c>
      <c r="M26" t="str">
        <f t="shared" si="1"/>
        <v>2024.07.31_25_0.2nM</v>
      </c>
    </row>
    <row r="27" spans="1:13" x14ac:dyDescent="0.2">
      <c r="A27" s="4">
        <v>26</v>
      </c>
      <c r="B27" s="4" t="s">
        <v>61</v>
      </c>
      <c r="C27" s="5" t="s">
        <v>22</v>
      </c>
      <c r="D27" s="5" t="s">
        <v>23</v>
      </c>
      <c r="E27" s="4">
        <v>1</v>
      </c>
      <c r="F27" s="4" t="s">
        <v>24</v>
      </c>
      <c r="G27" s="4">
        <v>0.2</v>
      </c>
      <c r="H27" s="4">
        <v>2</v>
      </c>
      <c r="I27" s="4" t="s">
        <v>14</v>
      </c>
      <c r="J27" s="5">
        <v>98</v>
      </c>
      <c r="K27" s="7">
        <v>26</v>
      </c>
      <c r="L27" t="str">
        <f t="shared" si="0"/>
        <v>2024.07.31_26</v>
      </c>
      <c r="M27" t="str">
        <f t="shared" si="1"/>
        <v>2024.07.31_26_0.2nM</v>
      </c>
    </row>
    <row r="28" spans="1:13" x14ac:dyDescent="0.2">
      <c r="A28" s="4">
        <v>27</v>
      </c>
      <c r="B28" s="4" t="s">
        <v>62</v>
      </c>
      <c r="C28" s="5" t="s">
        <v>22</v>
      </c>
      <c r="D28" s="5" t="s">
        <v>23</v>
      </c>
      <c r="E28" s="4">
        <v>1</v>
      </c>
      <c r="F28" s="4" t="s">
        <v>24</v>
      </c>
      <c r="G28" s="4">
        <v>0.2</v>
      </c>
      <c r="H28" s="4">
        <v>3</v>
      </c>
      <c r="I28" s="4" t="s">
        <v>16</v>
      </c>
      <c r="J28" s="5">
        <v>99</v>
      </c>
      <c r="K28" s="7">
        <v>27</v>
      </c>
      <c r="L28" t="str">
        <f t="shared" si="0"/>
        <v>2024.07.31_27</v>
      </c>
      <c r="M28" t="str">
        <f t="shared" si="1"/>
        <v>2024.07.31_27_0.2nM</v>
      </c>
    </row>
    <row r="29" spans="1:13" x14ac:dyDescent="0.2">
      <c r="A29" s="4">
        <v>28</v>
      </c>
      <c r="B29" s="4" t="s">
        <v>63</v>
      </c>
      <c r="C29" s="5" t="s">
        <v>22</v>
      </c>
      <c r="D29" s="5" t="s">
        <v>23</v>
      </c>
      <c r="E29" s="4">
        <v>1</v>
      </c>
      <c r="F29" s="4" t="s">
        <v>24</v>
      </c>
      <c r="G29" s="4">
        <v>0.2</v>
      </c>
      <c r="H29" s="4">
        <v>4</v>
      </c>
      <c r="I29" s="4" t="s">
        <v>18</v>
      </c>
      <c r="J29" s="5">
        <v>100</v>
      </c>
      <c r="K29" s="7">
        <v>28</v>
      </c>
      <c r="L29" t="str">
        <f t="shared" si="0"/>
        <v>2024.07.31_28</v>
      </c>
      <c r="M29" t="str">
        <f t="shared" si="1"/>
        <v>2024.07.31_28_0.2nM</v>
      </c>
    </row>
    <row r="30" spans="1:13" x14ac:dyDescent="0.2">
      <c r="A30" s="4">
        <v>29</v>
      </c>
      <c r="B30" s="4" t="s">
        <v>64</v>
      </c>
      <c r="C30" s="5" t="s">
        <v>22</v>
      </c>
      <c r="D30" s="5" t="s">
        <v>23</v>
      </c>
      <c r="E30" s="4">
        <v>1</v>
      </c>
      <c r="F30" s="4" t="s">
        <v>20</v>
      </c>
      <c r="G30" s="4">
        <v>30</v>
      </c>
      <c r="H30" s="4">
        <v>1</v>
      </c>
      <c r="I30" s="4" t="s">
        <v>12</v>
      </c>
      <c r="J30" s="5">
        <v>101</v>
      </c>
      <c r="K30" s="7">
        <v>29</v>
      </c>
      <c r="L30" t="str">
        <f t="shared" si="0"/>
        <v>2024.07.31_29</v>
      </c>
      <c r="M30" t="str">
        <f>CONCATENATE(L30,"_",G30,"nM HAtag")</f>
        <v>2024.07.31_29_30nM HAtag</v>
      </c>
    </row>
    <row r="31" spans="1:13" x14ac:dyDescent="0.2">
      <c r="A31" s="4">
        <v>30</v>
      </c>
      <c r="B31" s="4" t="s">
        <v>65</v>
      </c>
      <c r="C31" s="5" t="s">
        <v>22</v>
      </c>
      <c r="D31" s="5" t="s">
        <v>23</v>
      </c>
      <c r="E31" s="4">
        <v>1</v>
      </c>
      <c r="F31" s="4" t="s">
        <v>20</v>
      </c>
      <c r="G31" s="4">
        <v>30</v>
      </c>
      <c r="H31" s="4">
        <v>2</v>
      </c>
      <c r="I31" s="4" t="s">
        <v>14</v>
      </c>
      <c r="J31" s="5">
        <v>102</v>
      </c>
      <c r="K31" s="7">
        <v>30</v>
      </c>
      <c r="L31" t="str">
        <f t="shared" si="0"/>
        <v>2024.07.31_30</v>
      </c>
      <c r="M31" t="str">
        <f>CONCATENATE(L31,"_",G31,"nM HAtag")</f>
        <v>2024.07.31_30_30nM HAtag</v>
      </c>
    </row>
    <row r="32" spans="1:13" x14ac:dyDescent="0.2">
      <c r="A32" s="4">
        <v>31</v>
      </c>
      <c r="B32" s="4" t="s">
        <v>66</v>
      </c>
      <c r="C32" s="5" t="s">
        <v>22</v>
      </c>
      <c r="D32" s="5" t="s">
        <v>23</v>
      </c>
      <c r="E32" s="4">
        <v>1</v>
      </c>
      <c r="F32" s="4" t="s">
        <v>20</v>
      </c>
      <c r="G32" s="4">
        <v>30</v>
      </c>
      <c r="H32" s="4">
        <v>3</v>
      </c>
      <c r="I32" s="4" t="s">
        <v>16</v>
      </c>
      <c r="J32" s="5">
        <v>103</v>
      </c>
      <c r="K32" s="7">
        <v>31</v>
      </c>
      <c r="L32" t="str">
        <f t="shared" si="0"/>
        <v>2024.07.31_31</v>
      </c>
      <c r="M32" t="str">
        <f>CONCATENATE(L32,"_",G32,"nM HAtag")</f>
        <v>2024.07.31_31_30nM HAtag</v>
      </c>
    </row>
    <row r="33" spans="1:13" x14ac:dyDescent="0.2">
      <c r="A33" s="4">
        <v>32</v>
      </c>
      <c r="B33" s="4" t="s">
        <v>67</v>
      </c>
      <c r="C33" s="5" t="s">
        <v>22</v>
      </c>
      <c r="D33" s="5" t="s">
        <v>23</v>
      </c>
      <c r="E33" s="4">
        <v>1</v>
      </c>
      <c r="F33" s="4" t="s">
        <v>20</v>
      </c>
      <c r="G33" s="4">
        <v>30</v>
      </c>
      <c r="H33" s="4">
        <v>4</v>
      </c>
      <c r="I33" s="4" t="s">
        <v>18</v>
      </c>
      <c r="J33" s="5">
        <v>104</v>
      </c>
      <c r="K33" s="7">
        <v>32</v>
      </c>
      <c r="L33" t="str">
        <f t="shared" si="0"/>
        <v>2024.07.31_32</v>
      </c>
      <c r="M33" t="str">
        <f>CONCATENATE(L33,"_",G33,"nM HAtag")</f>
        <v>2024.07.31_32_30nM HAtag</v>
      </c>
    </row>
    <row r="34" spans="1:13" x14ac:dyDescent="0.2">
      <c r="A34" s="4" t="s">
        <v>13</v>
      </c>
      <c r="B34" s="4" t="s">
        <v>68</v>
      </c>
      <c r="C34" s="5" t="s">
        <v>22</v>
      </c>
      <c r="D34" s="5" t="s">
        <v>23</v>
      </c>
      <c r="E34" s="4">
        <v>1</v>
      </c>
      <c r="F34" s="4" t="s">
        <v>24</v>
      </c>
      <c r="G34" s="4">
        <v>6.7000000000000004E-2</v>
      </c>
      <c r="H34" s="4">
        <v>1</v>
      </c>
      <c r="I34" s="4" t="s">
        <v>12</v>
      </c>
      <c r="J34" s="5">
        <v>105</v>
      </c>
      <c r="K34" s="7" t="s">
        <v>13</v>
      </c>
      <c r="L34" t="str">
        <f t="shared" ref="L34:L65" si="2">CONCATENATE(D34,"_",A34)</f>
        <v>2024.07.31_A</v>
      </c>
      <c r="M34" t="str">
        <f t="shared" ref="M34:M69" si="3">CONCATENATE(L34,"_",G34,"nM")</f>
        <v>2024.07.31_A_0.067nM</v>
      </c>
    </row>
    <row r="35" spans="1:13" x14ac:dyDescent="0.2">
      <c r="A35" s="4" t="s">
        <v>15</v>
      </c>
      <c r="B35" s="4" t="s">
        <v>69</v>
      </c>
      <c r="C35" s="5" t="s">
        <v>22</v>
      </c>
      <c r="D35" s="5" t="s">
        <v>23</v>
      </c>
      <c r="E35" s="4">
        <v>1</v>
      </c>
      <c r="F35" s="4" t="s">
        <v>24</v>
      </c>
      <c r="G35" s="4">
        <v>6.7000000000000004E-2</v>
      </c>
      <c r="H35" s="4">
        <v>2</v>
      </c>
      <c r="I35" s="4" t="s">
        <v>14</v>
      </c>
      <c r="J35" s="5">
        <v>106</v>
      </c>
      <c r="K35" s="7" t="s">
        <v>15</v>
      </c>
      <c r="L35" t="str">
        <f t="shared" si="2"/>
        <v>2024.07.31_B</v>
      </c>
      <c r="M35" t="str">
        <f t="shared" si="3"/>
        <v>2024.07.31_B_0.067nM</v>
      </c>
    </row>
    <row r="36" spans="1:13" x14ac:dyDescent="0.2">
      <c r="A36" s="4" t="s">
        <v>17</v>
      </c>
      <c r="B36" s="4" t="s">
        <v>70</v>
      </c>
      <c r="C36" s="5" t="s">
        <v>22</v>
      </c>
      <c r="D36" s="5" t="s">
        <v>23</v>
      </c>
      <c r="E36" s="4">
        <v>1</v>
      </c>
      <c r="F36" s="4" t="s">
        <v>24</v>
      </c>
      <c r="G36" s="4">
        <v>6.7000000000000004E-2</v>
      </c>
      <c r="H36" s="4">
        <v>3</v>
      </c>
      <c r="I36" s="4" t="s">
        <v>16</v>
      </c>
      <c r="J36" s="5">
        <v>107</v>
      </c>
      <c r="K36" s="7" t="s">
        <v>17</v>
      </c>
      <c r="L36" t="str">
        <f t="shared" si="2"/>
        <v>2024.07.31_C</v>
      </c>
      <c r="M36" t="str">
        <f t="shared" si="3"/>
        <v>2024.07.31_C_0.067nM</v>
      </c>
    </row>
    <row r="37" spans="1:13" x14ac:dyDescent="0.2">
      <c r="A37" s="4" t="s">
        <v>19</v>
      </c>
      <c r="B37" s="4" t="s">
        <v>71</v>
      </c>
      <c r="C37" s="5" t="s">
        <v>22</v>
      </c>
      <c r="D37" s="5" t="s">
        <v>23</v>
      </c>
      <c r="E37" s="4">
        <v>1</v>
      </c>
      <c r="F37" s="4" t="s">
        <v>24</v>
      </c>
      <c r="G37" s="4">
        <v>6.7000000000000004E-2</v>
      </c>
      <c r="H37" s="4">
        <v>4</v>
      </c>
      <c r="I37" s="4" t="s">
        <v>18</v>
      </c>
      <c r="J37" s="5">
        <v>108</v>
      </c>
      <c r="K37" s="7" t="s">
        <v>19</v>
      </c>
      <c r="L37" t="str">
        <f t="shared" si="2"/>
        <v>2024.07.31_D</v>
      </c>
      <c r="M37" t="str">
        <f t="shared" si="3"/>
        <v>2024.07.31_D_0.067nM</v>
      </c>
    </row>
    <row r="38" spans="1:13" x14ac:dyDescent="0.2">
      <c r="A38" s="4">
        <v>33</v>
      </c>
      <c r="B38" s="4" t="s">
        <v>72</v>
      </c>
      <c r="C38" s="5" t="s">
        <v>25</v>
      </c>
      <c r="D38" s="5" t="s">
        <v>26</v>
      </c>
      <c r="E38" s="4">
        <v>2</v>
      </c>
      <c r="F38" s="4" t="s">
        <v>24</v>
      </c>
      <c r="G38" s="4">
        <v>200</v>
      </c>
      <c r="H38" s="4">
        <v>1</v>
      </c>
      <c r="I38" s="4" t="s">
        <v>12</v>
      </c>
      <c r="J38" s="5">
        <v>109</v>
      </c>
      <c r="K38" s="7">
        <v>33</v>
      </c>
      <c r="L38" t="str">
        <f t="shared" si="2"/>
        <v>2024.08.01_33</v>
      </c>
      <c r="M38" t="str">
        <f t="shared" si="3"/>
        <v>2024.08.01_33_200nM</v>
      </c>
    </row>
    <row r="39" spans="1:13" x14ac:dyDescent="0.2">
      <c r="A39" s="4">
        <v>34</v>
      </c>
      <c r="B39" s="4" t="s">
        <v>73</v>
      </c>
      <c r="C39" s="5" t="s">
        <v>25</v>
      </c>
      <c r="D39" s="5" t="s">
        <v>26</v>
      </c>
      <c r="E39" s="4">
        <v>2</v>
      </c>
      <c r="F39" s="4" t="s">
        <v>24</v>
      </c>
      <c r="G39" s="4">
        <v>200</v>
      </c>
      <c r="H39" s="4">
        <v>2</v>
      </c>
      <c r="I39" s="4" t="s">
        <v>14</v>
      </c>
      <c r="J39" s="5">
        <v>110</v>
      </c>
      <c r="K39" s="7">
        <v>34</v>
      </c>
      <c r="L39" t="str">
        <f t="shared" si="2"/>
        <v>2024.08.01_34</v>
      </c>
      <c r="M39" t="str">
        <f t="shared" si="3"/>
        <v>2024.08.01_34_200nM</v>
      </c>
    </row>
    <row r="40" spans="1:13" x14ac:dyDescent="0.2">
      <c r="A40" s="4">
        <v>35</v>
      </c>
      <c r="B40" s="4" t="s">
        <v>74</v>
      </c>
      <c r="C40" s="5" t="s">
        <v>25</v>
      </c>
      <c r="D40" s="5" t="s">
        <v>26</v>
      </c>
      <c r="E40" s="4">
        <v>2</v>
      </c>
      <c r="F40" s="4" t="s">
        <v>24</v>
      </c>
      <c r="G40" s="4">
        <v>200</v>
      </c>
      <c r="H40" s="4">
        <v>3</v>
      </c>
      <c r="I40" s="4" t="s">
        <v>16</v>
      </c>
      <c r="J40" s="5">
        <v>111</v>
      </c>
      <c r="K40" s="7">
        <v>35</v>
      </c>
      <c r="L40" t="str">
        <f t="shared" si="2"/>
        <v>2024.08.01_35</v>
      </c>
      <c r="M40" t="str">
        <f t="shared" si="3"/>
        <v>2024.08.01_35_200nM</v>
      </c>
    </row>
    <row r="41" spans="1:13" x14ac:dyDescent="0.2">
      <c r="A41" s="4">
        <v>36</v>
      </c>
      <c r="B41" s="4" t="s">
        <v>75</v>
      </c>
      <c r="C41" s="5" t="s">
        <v>25</v>
      </c>
      <c r="D41" s="5" t="s">
        <v>26</v>
      </c>
      <c r="E41" s="4">
        <v>2</v>
      </c>
      <c r="F41" s="4" t="s">
        <v>24</v>
      </c>
      <c r="G41" s="4">
        <v>200</v>
      </c>
      <c r="H41" s="4">
        <v>4</v>
      </c>
      <c r="I41" s="4" t="s">
        <v>18</v>
      </c>
      <c r="J41" s="5">
        <v>112</v>
      </c>
      <c r="K41" s="7">
        <v>36</v>
      </c>
      <c r="L41" t="str">
        <f t="shared" si="2"/>
        <v>2024.08.01_36</v>
      </c>
      <c r="M41" t="str">
        <f t="shared" si="3"/>
        <v>2024.08.01_36_200nM</v>
      </c>
    </row>
    <row r="42" spans="1:13" x14ac:dyDescent="0.2">
      <c r="A42" s="4">
        <v>37</v>
      </c>
      <c r="B42" s="4" t="s">
        <v>76</v>
      </c>
      <c r="C42" s="5" t="s">
        <v>25</v>
      </c>
      <c r="D42" s="5" t="s">
        <v>26</v>
      </c>
      <c r="E42" s="4">
        <v>2</v>
      </c>
      <c r="F42" s="4" t="s">
        <v>24</v>
      </c>
      <c r="G42" s="4">
        <v>67</v>
      </c>
      <c r="H42" s="4">
        <v>1</v>
      </c>
      <c r="I42" s="4" t="s">
        <v>12</v>
      </c>
      <c r="J42" s="5">
        <v>113</v>
      </c>
      <c r="K42" s="7">
        <v>37</v>
      </c>
      <c r="L42" t="str">
        <f t="shared" si="2"/>
        <v>2024.08.01_37</v>
      </c>
      <c r="M42" t="str">
        <f t="shared" si="3"/>
        <v>2024.08.01_37_67nM</v>
      </c>
    </row>
    <row r="43" spans="1:13" x14ac:dyDescent="0.2">
      <c r="A43" s="4">
        <v>38</v>
      </c>
      <c r="B43" s="4" t="s">
        <v>77</v>
      </c>
      <c r="C43" s="5" t="s">
        <v>25</v>
      </c>
      <c r="D43" s="5" t="s">
        <v>26</v>
      </c>
      <c r="E43" s="4">
        <v>2</v>
      </c>
      <c r="F43" s="4" t="s">
        <v>24</v>
      </c>
      <c r="G43" s="4">
        <v>67</v>
      </c>
      <c r="H43" s="4">
        <v>2</v>
      </c>
      <c r="I43" s="4" t="s">
        <v>14</v>
      </c>
      <c r="J43" s="5">
        <v>114</v>
      </c>
      <c r="K43" s="7">
        <v>38</v>
      </c>
      <c r="L43" t="str">
        <f t="shared" si="2"/>
        <v>2024.08.01_38</v>
      </c>
      <c r="M43" t="str">
        <f t="shared" si="3"/>
        <v>2024.08.01_38_67nM</v>
      </c>
    </row>
    <row r="44" spans="1:13" x14ac:dyDescent="0.2">
      <c r="A44" s="4">
        <v>39</v>
      </c>
      <c r="B44" s="4" t="s">
        <v>78</v>
      </c>
      <c r="C44" s="5" t="s">
        <v>25</v>
      </c>
      <c r="D44" s="5" t="s">
        <v>26</v>
      </c>
      <c r="E44" s="4">
        <v>2</v>
      </c>
      <c r="F44" s="4" t="s">
        <v>24</v>
      </c>
      <c r="G44" s="4">
        <v>67</v>
      </c>
      <c r="H44" s="4">
        <v>3</v>
      </c>
      <c r="I44" s="4" t="s">
        <v>16</v>
      </c>
      <c r="J44" s="5">
        <v>115</v>
      </c>
      <c r="K44" s="7">
        <v>39</v>
      </c>
      <c r="L44" t="str">
        <f t="shared" si="2"/>
        <v>2024.08.01_39</v>
      </c>
      <c r="M44" t="str">
        <f t="shared" si="3"/>
        <v>2024.08.01_39_67nM</v>
      </c>
    </row>
    <row r="45" spans="1:13" x14ac:dyDescent="0.2">
      <c r="A45" s="4">
        <v>40</v>
      </c>
      <c r="B45" s="4" t="s">
        <v>79</v>
      </c>
      <c r="C45" s="5" t="s">
        <v>25</v>
      </c>
      <c r="D45" s="5" t="s">
        <v>26</v>
      </c>
      <c r="E45" s="4">
        <v>2</v>
      </c>
      <c r="F45" s="4" t="s">
        <v>24</v>
      </c>
      <c r="G45" s="4">
        <v>67</v>
      </c>
      <c r="H45" s="4">
        <v>4</v>
      </c>
      <c r="I45" s="4" t="s">
        <v>18</v>
      </c>
      <c r="J45" s="5">
        <v>116</v>
      </c>
      <c r="K45" s="7">
        <v>40</v>
      </c>
      <c r="L45" t="str">
        <f t="shared" si="2"/>
        <v>2024.08.01_40</v>
      </c>
      <c r="M45" t="str">
        <f t="shared" si="3"/>
        <v>2024.08.01_40_67nM</v>
      </c>
    </row>
    <row r="46" spans="1:13" x14ac:dyDescent="0.2">
      <c r="A46" s="4">
        <v>41</v>
      </c>
      <c r="B46" s="4" t="s">
        <v>80</v>
      </c>
      <c r="C46" s="5" t="s">
        <v>25</v>
      </c>
      <c r="D46" s="5" t="s">
        <v>26</v>
      </c>
      <c r="E46" s="4">
        <v>2</v>
      </c>
      <c r="F46" s="4" t="s">
        <v>24</v>
      </c>
      <c r="G46" s="4">
        <v>20</v>
      </c>
      <c r="H46" s="4">
        <v>1</v>
      </c>
      <c r="I46" s="4" t="s">
        <v>12</v>
      </c>
      <c r="J46" s="5">
        <v>117</v>
      </c>
      <c r="K46" s="7">
        <v>41</v>
      </c>
      <c r="L46" t="str">
        <f t="shared" si="2"/>
        <v>2024.08.01_41</v>
      </c>
      <c r="M46" t="str">
        <f t="shared" si="3"/>
        <v>2024.08.01_41_20nM</v>
      </c>
    </row>
    <row r="47" spans="1:13" x14ac:dyDescent="0.2">
      <c r="A47" s="4">
        <v>42</v>
      </c>
      <c r="B47" s="4" t="s">
        <v>81</v>
      </c>
      <c r="C47" s="5" t="s">
        <v>25</v>
      </c>
      <c r="D47" s="5" t="s">
        <v>26</v>
      </c>
      <c r="E47" s="4">
        <v>2</v>
      </c>
      <c r="F47" s="4" t="s">
        <v>24</v>
      </c>
      <c r="G47" s="4">
        <v>20</v>
      </c>
      <c r="H47" s="4">
        <v>2</v>
      </c>
      <c r="I47" s="4" t="s">
        <v>14</v>
      </c>
      <c r="J47" s="5">
        <v>118</v>
      </c>
      <c r="K47" s="7">
        <v>42</v>
      </c>
      <c r="L47" t="str">
        <f t="shared" si="2"/>
        <v>2024.08.01_42</v>
      </c>
      <c r="M47" t="str">
        <f t="shared" si="3"/>
        <v>2024.08.01_42_20nM</v>
      </c>
    </row>
    <row r="48" spans="1:13" x14ac:dyDescent="0.2">
      <c r="A48" s="4">
        <v>43</v>
      </c>
      <c r="B48" s="4" t="s">
        <v>82</v>
      </c>
      <c r="C48" s="5" t="s">
        <v>25</v>
      </c>
      <c r="D48" s="5" t="s">
        <v>26</v>
      </c>
      <c r="E48" s="4">
        <v>2</v>
      </c>
      <c r="F48" s="4" t="s">
        <v>24</v>
      </c>
      <c r="G48" s="4">
        <v>20</v>
      </c>
      <c r="H48" s="4">
        <v>3</v>
      </c>
      <c r="I48" s="4" t="s">
        <v>16</v>
      </c>
      <c r="J48" s="5">
        <v>119</v>
      </c>
      <c r="K48" s="7">
        <v>43</v>
      </c>
      <c r="L48" t="str">
        <f t="shared" si="2"/>
        <v>2024.08.01_43</v>
      </c>
      <c r="M48" t="str">
        <f t="shared" si="3"/>
        <v>2024.08.01_43_20nM</v>
      </c>
    </row>
    <row r="49" spans="1:13" x14ac:dyDescent="0.2">
      <c r="A49" s="4">
        <v>44</v>
      </c>
      <c r="B49" s="4" t="s">
        <v>83</v>
      </c>
      <c r="C49" s="5" t="s">
        <v>25</v>
      </c>
      <c r="D49" s="5" t="s">
        <v>26</v>
      </c>
      <c r="E49" s="4">
        <v>2</v>
      </c>
      <c r="F49" s="4" t="s">
        <v>24</v>
      </c>
      <c r="G49" s="4">
        <v>20</v>
      </c>
      <c r="H49" s="4">
        <v>4</v>
      </c>
      <c r="I49" s="4" t="s">
        <v>18</v>
      </c>
      <c r="J49" s="5">
        <v>120</v>
      </c>
      <c r="K49" s="7">
        <v>44</v>
      </c>
      <c r="L49" t="str">
        <f t="shared" si="2"/>
        <v>2024.08.01_44</v>
      </c>
      <c r="M49" t="str">
        <f t="shared" si="3"/>
        <v>2024.08.01_44_20nM</v>
      </c>
    </row>
    <row r="50" spans="1:13" x14ac:dyDescent="0.2">
      <c r="A50" s="4">
        <v>45</v>
      </c>
      <c r="B50" s="4" t="s">
        <v>84</v>
      </c>
      <c r="C50" s="5" t="s">
        <v>25</v>
      </c>
      <c r="D50" s="5" t="s">
        <v>26</v>
      </c>
      <c r="E50" s="4">
        <v>2</v>
      </c>
      <c r="F50" s="4" t="s">
        <v>24</v>
      </c>
      <c r="G50" s="4">
        <v>6.7</v>
      </c>
      <c r="H50" s="4">
        <v>1</v>
      </c>
      <c r="I50" s="4" t="s">
        <v>12</v>
      </c>
      <c r="J50" s="5">
        <v>121</v>
      </c>
      <c r="K50" s="7">
        <v>45</v>
      </c>
      <c r="L50" t="str">
        <f t="shared" si="2"/>
        <v>2024.08.01_45</v>
      </c>
      <c r="M50" t="str">
        <f t="shared" si="3"/>
        <v>2024.08.01_45_6.7nM</v>
      </c>
    </row>
    <row r="51" spans="1:13" x14ac:dyDescent="0.2">
      <c r="A51" s="4">
        <v>46</v>
      </c>
      <c r="B51" s="4" t="s">
        <v>85</v>
      </c>
      <c r="C51" s="5" t="s">
        <v>25</v>
      </c>
      <c r="D51" s="5" t="s">
        <v>26</v>
      </c>
      <c r="E51" s="4">
        <v>2</v>
      </c>
      <c r="F51" s="4" t="s">
        <v>24</v>
      </c>
      <c r="G51" s="4">
        <v>6.7</v>
      </c>
      <c r="H51" s="4">
        <v>2</v>
      </c>
      <c r="I51" s="4" t="s">
        <v>14</v>
      </c>
      <c r="J51" s="5">
        <v>122</v>
      </c>
      <c r="K51" s="7">
        <v>46</v>
      </c>
      <c r="L51" t="str">
        <f t="shared" si="2"/>
        <v>2024.08.01_46</v>
      </c>
      <c r="M51" t="str">
        <f t="shared" si="3"/>
        <v>2024.08.01_46_6.7nM</v>
      </c>
    </row>
    <row r="52" spans="1:13" x14ac:dyDescent="0.2">
      <c r="A52" s="4">
        <v>47</v>
      </c>
      <c r="B52" s="4" t="s">
        <v>86</v>
      </c>
      <c r="C52" s="5" t="s">
        <v>25</v>
      </c>
      <c r="D52" s="5" t="s">
        <v>26</v>
      </c>
      <c r="E52" s="4">
        <v>2</v>
      </c>
      <c r="F52" s="4" t="s">
        <v>24</v>
      </c>
      <c r="G52" s="4">
        <v>6.7</v>
      </c>
      <c r="H52" s="4">
        <v>3</v>
      </c>
      <c r="I52" s="4" t="s">
        <v>16</v>
      </c>
      <c r="J52" s="5">
        <v>123</v>
      </c>
      <c r="K52" s="7">
        <v>47</v>
      </c>
      <c r="L52" t="str">
        <f t="shared" si="2"/>
        <v>2024.08.01_47</v>
      </c>
      <c r="M52" t="str">
        <f t="shared" si="3"/>
        <v>2024.08.01_47_6.7nM</v>
      </c>
    </row>
    <row r="53" spans="1:13" x14ac:dyDescent="0.2">
      <c r="A53" s="4">
        <v>48</v>
      </c>
      <c r="B53" s="4" t="s">
        <v>87</v>
      </c>
      <c r="C53" s="5" t="s">
        <v>25</v>
      </c>
      <c r="D53" s="5" t="s">
        <v>26</v>
      </c>
      <c r="E53" s="4">
        <v>2</v>
      </c>
      <c r="F53" s="4" t="s">
        <v>24</v>
      </c>
      <c r="G53" s="4">
        <v>6.7</v>
      </c>
      <c r="H53" s="4">
        <v>4</v>
      </c>
      <c r="I53" s="4" t="s">
        <v>18</v>
      </c>
      <c r="J53" s="5">
        <v>124</v>
      </c>
      <c r="K53" s="7">
        <v>48</v>
      </c>
      <c r="L53" t="str">
        <f t="shared" si="2"/>
        <v>2024.08.01_48</v>
      </c>
      <c r="M53" t="str">
        <f t="shared" si="3"/>
        <v>2024.08.01_48_6.7nM</v>
      </c>
    </row>
    <row r="54" spans="1:13" x14ac:dyDescent="0.2">
      <c r="A54" s="4">
        <v>49</v>
      </c>
      <c r="B54" s="4" t="s">
        <v>88</v>
      </c>
      <c r="C54" s="5" t="s">
        <v>25</v>
      </c>
      <c r="D54" s="5" t="s">
        <v>26</v>
      </c>
      <c r="E54" s="4">
        <v>2</v>
      </c>
      <c r="F54" s="4" t="s">
        <v>24</v>
      </c>
      <c r="G54" s="4">
        <v>2</v>
      </c>
      <c r="H54" s="4">
        <v>1</v>
      </c>
      <c r="I54" s="4" t="s">
        <v>12</v>
      </c>
      <c r="J54" s="5">
        <v>125</v>
      </c>
      <c r="K54" s="7">
        <v>49</v>
      </c>
      <c r="L54" t="str">
        <f t="shared" si="2"/>
        <v>2024.08.01_49</v>
      </c>
      <c r="M54" t="str">
        <f t="shared" si="3"/>
        <v>2024.08.01_49_2nM</v>
      </c>
    </row>
    <row r="55" spans="1:13" x14ac:dyDescent="0.2">
      <c r="A55" s="4">
        <v>50</v>
      </c>
      <c r="B55" s="4" t="s">
        <v>89</v>
      </c>
      <c r="C55" s="5" t="s">
        <v>25</v>
      </c>
      <c r="D55" s="5" t="s">
        <v>26</v>
      </c>
      <c r="E55" s="4">
        <v>2</v>
      </c>
      <c r="F55" s="4" t="s">
        <v>24</v>
      </c>
      <c r="G55" s="4">
        <v>2</v>
      </c>
      <c r="H55" s="4">
        <v>2</v>
      </c>
      <c r="I55" s="4" t="s">
        <v>14</v>
      </c>
      <c r="J55" s="5">
        <v>126</v>
      </c>
      <c r="K55" s="7">
        <v>50</v>
      </c>
      <c r="L55" t="str">
        <f t="shared" si="2"/>
        <v>2024.08.01_50</v>
      </c>
      <c r="M55" t="str">
        <f t="shared" si="3"/>
        <v>2024.08.01_50_2nM</v>
      </c>
    </row>
    <row r="56" spans="1:13" x14ac:dyDescent="0.2">
      <c r="A56" s="4">
        <v>51</v>
      </c>
      <c r="B56" s="4" t="s">
        <v>90</v>
      </c>
      <c r="C56" s="5" t="s">
        <v>25</v>
      </c>
      <c r="D56" s="5" t="s">
        <v>26</v>
      </c>
      <c r="E56" s="4">
        <v>2</v>
      </c>
      <c r="F56" s="4" t="s">
        <v>24</v>
      </c>
      <c r="G56" s="4">
        <v>2</v>
      </c>
      <c r="H56" s="4">
        <v>3</v>
      </c>
      <c r="I56" s="4" t="s">
        <v>16</v>
      </c>
      <c r="J56" s="5">
        <v>127</v>
      </c>
      <c r="K56" s="7">
        <v>51</v>
      </c>
      <c r="L56" t="str">
        <f t="shared" si="2"/>
        <v>2024.08.01_51</v>
      </c>
      <c r="M56" t="str">
        <f t="shared" si="3"/>
        <v>2024.08.01_51_2nM</v>
      </c>
    </row>
    <row r="57" spans="1:13" x14ac:dyDescent="0.2">
      <c r="A57" s="4">
        <v>52</v>
      </c>
      <c r="B57" s="4" t="s">
        <v>91</v>
      </c>
      <c r="C57" s="5" t="s">
        <v>25</v>
      </c>
      <c r="D57" s="5" t="s">
        <v>26</v>
      </c>
      <c r="E57" s="4">
        <v>2</v>
      </c>
      <c r="F57" s="4" t="s">
        <v>24</v>
      </c>
      <c r="G57" s="4">
        <v>2</v>
      </c>
      <c r="H57" s="4">
        <v>4</v>
      </c>
      <c r="I57" s="4" t="s">
        <v>18</v>
      </c>
      <c r="J57" s="5">
        <v>128</v>
      </c>
      <c r="K57" s="7">
        <v>52</v>
      </c>
      <c r="L57" t="str">
        <f t="shared" si="2"/>
        <v>2024.08.01_52</v>
      </c>
      <c r="M57" t="str">
        <f t="shared" si="3"/>
        <v>2024.08.01_52_2nM</v>
      </c>
    </row>
    <row r="58" spans="1:13" x14ac:dyDescent="0.2">
      <c r="A58" s="4">
        <v>53</v>
      </c>
      <c r="B58" s="4" t="s">
        <v>92</v>
      </c>
      <c r="C58" s="5" t="s">
        <v>25</v>
      </c>
      <c r="D58" s="5" t="s">
        <v>26</v>
      </c>
      <c r="E58" s="4">
        <v>2</v>
      </c>
      <c r="F58" s="4" t="s">
        <v>24</v>
      </c>
      <c r="G58" s="4">
        <v>0.67</v>
      </c>
      <c r="H58" s="4">
        <v>1</v>
      </c>
      <c r="I58" s="4" t="s">
        <v>12</v>
      </c>
      <c r="J58" s="5">
        <v>129</v>
      </c>
      <c r="K58" s="7">
        <v>53</v>
      </c>
      <c r="L58" t="str">
        <f t="shared" si="2"/>
        <v>2024.08.01_53</v>
      </c>
      <c r="M58" t="str">
        <f t="shared" si="3"/>
        <v>2024.08.01_53_0.67nM</v>
      </c>
    </row>
    <row r="59" spans="1:13" x14ac:dyDescent="0.2">
      <c r="A59" s="4">
        <v>54</v>
      </c>
      <c r="B59" s="4" t="s">
        <v>93</v>
      </c>
      <c r="C59" s="5" t="s">
        <v>25</v>
      </c>
      <c r="D59" s="5" t="s">
        <v>26</v>
      </c>
      <c r="E59" s="4">
        <v>2</v>
      </c>
      <c r="F59" s="4" t="s">
        <v>24</v>
      </c>
      <c r="G59" s="4">
        <v>0.67</v>
      </c>
      <c r="H59" s="4">
        <v>2</v>
      </c>
      <c r="I59" s="4" t="s">
        <v>14</v>
      </c>
      <c r="J59" s="5">
        <v>130</v>
      </c>
      <c r="K59" s="7">
        <v>54</v>
      </c>
      <c r="L59" t="str">
        <f t="shared" si="2"/>
        <v>2024.08.01_54</v>
      </c>
      <c r="M59" t="str">
        <f t="shared" si="3"/>
        <v>2024.08.01_54_0.67nM</v>
      </c>
    </row>
    <row r="60" spans="1:13" x14ac:dyDescent="0.2">
      <c r="A60" s="4">
        <v>55</v>
      </c>
      <c r="B60" s="4" t="s">
        <v>94</v>
      </c>
      <c r="C60" s="5" t="s">
        <v>25</v>
      </c>
      <c r="D60" s="5" t="s">
        <v>26</v>
      </c>
      <c r="E60" s="4">
        <v>2</v>
      </c>
      <c r="F60" s="4" t="s">
        <v>24</v>
      </c>
      <c r="G60" s="4">
        <v>0.67</v>
      </c>
      <c r="H60" s="4">
        <v>3</v>
      </c>
      <c r="I60" s="4" t="s">
        <v>16</v>
      </c>
      <c r="J60" s="5">
        <v>131</v>
      </c>
      <c r="K60" s="7">
        <v>55</v>
      </c>
      <c r="L60" t="str">
        <f t="shared" si="2"/>
        <v>2024.08.01_55</v>
      </c>
      <c r="M60" t="str">
        <f t="shared" si="3"/>
        <v>2024.08.01_55_0.67nM</v>
      </c>
    </row>
    <row r="61" spans="1:13" x14ac:dyDescent="0.2">
      <c r="A61" s="4">
        <v>56</v>
      </c>
      <c r="B61" s="4" t="s">
        <v>95</v>
      </c>
      <c r="C61" s="5" t="s">
        <v>25</v>
      </c>
      <c r="D61" s="5" t="s">
        <v>26</v>
      </c>
      <c r="E61" s="4">
        <v>2</v>
      </c>
      <c r="F61" s="4" t="s">
        <v>24</v>
      </c>
      <c r="G61" s="4">
        <v>0.67</v>
      </c>
      <c r="H61" s="4">
        <v>4</v>
      </c>
      <c r="I61" s="4" t="s">
        <v>18</v>
      </c>
      <c r="J61" s="5">
        <v>132</v>
      </c>
      <c r="K61" s="7">
        <v>56</v>
      </c>
      <c r="L61" t="str">
        <f t="shared" si="2"/>
        <v>2024.08.01_56</v>
      </c>
      <c r="M61" t="str">
        <f t="shared" si="3"/>
        <v>2024.08.01_56_0.67nM</v>
      </c>
    </row>
    <row r="62" spans="1:13" x14ac:dyDescent="0.2">
      <c r="A62" s="4">
        <v>57</v>
      </c>
      <c r="B62" s="4" t="s">
        <v>96</v>
      </c>
      <c r="C62" s="5" t="s">
        <v>25</v>
      </c>
      <c r="D62" s="5" t="s">
        <v>26</v>
      </c>
      <c r="E62" s="4">
        <v>2</v>
      </c>
      <c r="F62" s="4" t="s">
        <v>24</v>
      </c>
      <c r="G62" s="4">
        <v>0.2</v>
      </c>
      <c r="H62" s="4">
        <v>1</v>
      </c>
      <c r="I62" s="4" t="s">
        <v>12</v>
      </c>
      <c r="J62" s="5">
        <v>133</v>
      </c>
      <c r="K62" s="7">
        <v>57</v>
      </c>
      <c r="L62" t="str">
        <f t="shared" si="2"/>
        <v>2024.08.01_57</v>
      </c>
      <c r="M62" t="str">
        <f t="shared" si="3"/>
        <v>2024.08.01_57_0.2nM</v>
      </c>
    </row>
    <row r="63" spans="1:13" x14ac:dyDescent="0.2">
      <c r="A63" s="4">
        <v>58</v>
      </c>
      <c r="B63" s="4" t="s">
        <v>97</v>
      </c>
      <c r="C63" s="5" t="s">
        <v>25</v>
      </c>
      <c r="D63" s="5" t="s">
        <v>26</v>
      </c>
      <c r="E63" s="4">
        <v>2</v>
      </c>
      <c r="F63" s="4" t="s">
        <v>24</v>
      </c>
      <c r="G63" s="4">
        <v>0.2</v>
      </c>
      <c r="H63" s="4">
        <v>2</v>
      </c>
      <c r="I63" s="4" t="s">
        <v>14</v>
      </c>
      <c r="J63" s="5">
        <v>134</v>
      </c>
      <c r="K63" s="7">
        <v>58</v>
      </c>
      <c r="L63" t="str">
        <f t="shared" si="2"/>
        <v>2024.08.01_58</v>
      </c>
      <c r="M63" t="str">
        <f t="shared" si="3"/>
        <v>2024.08.01_58_0.2nM</v>
      </c>
    </row>
    <row r="64" spans="1:13" x14ac:dyDescent="0.2">
      <c r="A64" s="4">
        <v>59</v>
      </c>
      <c r="B64" s="4" t="s">
        <v>98</v>
      </c>
      <c r="C64" s="5" t="s">
        <v>25</v>
      </c>
      <c r="D64" s="5" t="s">
        <v>26</v>
      </c>
      <c r="E64" s="4">
        <v>2</v>
      </c>
      <c r="F64" s="4" t="s">
        <v>24</v>
      </c>
      <c r="G64" s="4">
        <v>0.2</v>
      </c>
      <c r="H64" s="4">
        <v>3</v>
      </c>
      <c r="I64" s="4" t="s">
        <v>16</v>
      </c>
      <c r="J64" s="5">
        <v>135</v>
      </c>
      <c r="K64" s="7">
        <v>59</v>
      </c>
      <c r="L64" t="str">
        <f t="shared" si="2"/>
        <v>2024.08.01_59</v>
      </c>
      <c r="M64" t="str">
        <f t="shared" si="3"/>
        <v>2024.08.01_59_0.2nM</v>
      </c>
    </row>
    <row r="65" spans="1:13" x14ac:dyDescent="0.2">
      <c r="A65" s="4">
        <v>60</v>
      </c>
      <c r="B65" s="4" t="s">
        <v>99</v>
      </c>
      <c r="C65" s="5" t="s">
        <v>25</v>
      </c>
      <c r="D65" s="5" t="s">
        <v>26</v>
      </c>
      <c r="E65" s="4">
        <v>2</v>
      </c>
      <c r="F65" s="4" t="s">
        <v>24</v>
      </c>
      <c r="G65" s="4">
        <v>0.2</v>
      </c>
      <c r="H65" s="4">
        <v>4</v>
      </c>
      <c r="I65" s="4" t="s">
        <v>18</v>
      </c>
      <c r="J65" s="5">
        <v>136</v>
      </c>
      <c r="K65" s="7">
        <v>60</v>
      </c>
      <c r="L65" t="str">
        <f t="shared" si="2"/>
        <v>2024.08.01_60</v>
      </c>
      <c r="M65" t="str">
        <f t="shared" si="3"/>
        <v>2024.08.01_60_0.2nM</v>
      </c>
    </row>
    <row r="66" spans="1:13" x14ac:dyDescent="0.2">
      <c r="A66" s="4" t="s">
        <v>13</v>
      </c>
      <c r="B66" s="4" t="s">
        <v>100</v>
      </c>
      <c r="C66" s="5" t="s">
        <v>25</v>
      </c>
      <c r="D66" s="5" t="s">
        <v>26</v>
      </c>
      <c r="E66" s="4">
        <v>2</v>
      </c>
      <c r="F66" s="4" t="s">
        <v>24</v>
      </c>
      <c r="G66" s="4">
        <v>6.7000000000000004E-2</v>
      </c>
      <c r="H66" s="4">
        <v>1</v>
      </c>
      <c r="I66" s="4" t="s">
        <v>12</v>
      </c>
      <c r="J66" s="5">
        <v>137</v>
      </c>
      <c r="K66" s="7" t="s">
        <v>13</v>
      </c>
      <c r="L66" t="str">
        <f t="shared" ref="L66:L75" si="4">CONCATENATE(D66,"_",A66)</f>
        <v>2024.08.01_A</v>
      </c>
      <c r="M66" t="str">
        <f t="shared" si="3"/>
        <v>2024.08.01_A_0.067nM</v>
      </c>
    </row>
    <row r="67" spans="1:13" x14ac:dyDescent="0.2">
      <c r="A67" s="4" t="s">
        <v>15</v>
      </c>
      <c r="B67" s="4" t="s">
        <v>101</v>
      </c>
      <c r="C67" s="5" t="s">
        <v>25</v>
      </c>
      <c r="D67" s="5" t="s">
        <v>26</v>
      </c>
      <c r="E67" s="4">
        <v>2</v>
      </c>
      <c r="F67" s="4" t="s">
        <v>24</v>
      </c>
      <c r="G67" s="4">
        <v>6.7000000000000004E-2</v>
      </c>
      <c r="H67" s="4">
        <v>2</v>
      </c>
      <c r="I67" s="4" t="s">
        <v>14</v>
      </c>
      <c r="J67" s="5">
        <v>138</v>
      </c>
      <c r="K67" s="7" t="s">
        <v>15</v>
      </c>
      <c r="L67" t="str">
        <f t="shared" si="4"/>
        <v>2024.08.01_B</v>
      </c>
      <c r="M67" t="str">
        <f t="shared" si="3"/>
        <v>2024.08.01_B_0.067nM</v>
      </c>
    </row>
    <row r="68" spans="1:13" x14ac:dyDescent="0.2">
      <c r="A68" s="4" t="s">
        <v>17</v>
      </c>
      <c r="B68" s="4" t="s">
        <v>102</v>
      </c>
      <c r="C68" s="5" t="s">
        <v>25</v>
      </c>
      <c r="D68" s="5" t="s">
        <v>26</v>
      </c>
      <c r="E68" s="4">
        <v>2</v>
      </c>
      <c r="F68" s="4" t="s">
        <v>24</v>
      </c>
      <c r="G68" s="4">
        <v>6.7000000000000004E-2</v>
      </c>
      <c r="H68" s="4">
        <v>3</v>
      </c>
      <c r="I68" s="4" t="s">
        <v>16</v>
      </c>
      <c r="J68" s="5">
        <v>139</v>
      </c>
      <c r="K68" s="7" t="s">
        <v>17</v>
      </c>
      <c r="L68" t="str">
        <f t="shared" si="4"/>
        <v>2024.08.01_C</v>
      </c>
      <c r="M68" t="str">
        <f t="shared" si="3"/>
        <v>2024.08.01_C_0.067nM</v>
      </c>
    </row>
    <row r="69" spans="1:13" x14ac:dyDescent="0.2">
      <c r="A69" s="4" t="s">
        <v>19</v>
      </c>
      <c r="B69" s="4" t="s">
        <v>103</v>
      </c>
      <c r="C69" s="5" t="s">
        <v>25</v>
      </c>
      <c r="D69" s="5" t="s">
        <v>26</v>
      </c>
      <c r="E69" s="4">
        <v>2</v>
      </c>
      <c r="F69" s="4" t="s">
        <v>24</v>
      </c>
      <c r="G69" s="4">
        <v>6.7000000000000004E-2</v>
      </c>
      <c r="H69" s="4">
        <v>4</v>
      </c>
      <c r="I69" s="4" t="s">
        <v>18</v>
      </c>
      <c r="J69" s="5">
        <v>140</v>
      </c>
      <c r="K69" s="7" t="s">
        <v>19</v>
      </c>
      <c r="L69" t="str">
        <f t="shared" si="4"/>
        <v>2024.08.01_D</v>
      </c>
      <c r="M69" t="str">
        <f t="shared" si="3"/>
        <v>2024.08.01_D_0.067nM</v>
      </c>
    </row>
    <row r="70" spans="1:13" x14ac:dyDescent="0.2">
      <c r="A70" s="4">
        <v>61</v>
      </c>
      <c r="B70" s="4" t="s">
        <v>104</v>
      </c>
      <c r="C70" s="5" t="s">
        <v>25</v>
      </c>
      <c r="D70" s="5" t="s">
        <v>26</v>
      </c>
      <c r="E70" s="4">
        <v>2</v>
      </c>
      <c r="F70" s="4" t="s">
        <v>20</v>
      </c>
      <c r="G70" s="4">
        <v>30</v>
      </c>
      <c r="H70" s="4">
        <v>1</v>
      </c>
      <c r="I70" s="4" t="s">
        <v>12</v>
      </c>
      <c r="J70" s="5">
        <v>141</v>
      </c>
      <c r="K70" s="7">
        <v>61</v>
      </c>
      <c r="L70" t="str">
        <f t="shared" si="4"/>
        <v>2024.08.01_61</v>
      </c>
      <c r="M70" t="str">
        <f>CONCATENATE(L70,"_",G70,"nM HAtag")</f>
        <v>2024.08.01_61_30nM HAtag</v>
      </c>
    </row>
    <row r="71" spans="1:13" x14ac:dyDescent="0.2">
      <c r="A71" s="4">
        <v>62</v>
      </c>
      <c r="B71" s="4" t="s">
        <v>105</v>
      </c>
      <c r="C71" s="5" t="s">
        <v>25</v>
      </c>
      <c r="D71" s="5" t="s">
        <v>26</v>
      </c>
      <c r="E71" s="4">
        <v>2</v>
      </c>
      <c r="F71" s="4" t="s">
        <v>20</v>
      </c>
      <c r="G71" s="4">
        <v>30</v>
      </c>
      <c r="H71" s="4">
        <v>2</v>
      </c>
      <c r="I71" s="4" t="s">
        <v>14</v>
      </c>
      <c r="J71" s="5">
        <v>142</v>
      </c>
      <c r="K71" s="7">
        <v>62</v>
      </c>
      <c r="L71" t="str">
        <f t="shared" si="4"/>
        <v>2024.08.01_62</v>
      </c>
      <c r="M71" t="str">
        <f>CONCATENATE(L71,"_",G71,"nM HAtag")</f>
        <v>2024.08.01_62_30nM HAtag</v>
      </c>
    </row>
    <row r="72" spans="1:13" x14ac:dyDescent="0.2">
      <c r="A72" s="4">
        <v>63</v>
      </c>
      <c r="B72" s="4" t="s">
        <v>106</v>
      </c>
      <c r="C72" s="5" t="s">
        <v>25</v>
      </c>
      <c r="D72" s="5" t="s">
        <v>26</v>
      </c>
      <c r="E72" s="4">
        <v>2</v>
      </c>
      <c r="F72" s="4" t="s">
        <v>20</v>
      </c>
      <c r="G72" s="4">
        <v>30</v>
      </c>
      <c r="H72" s="4">
        <v>3</v>
      </c>
      <c r="I72" s="4" t="s">
        <v>16</v>
      </c>
      <c r="J72" s="5">
        <v>143</v>
      </c>
      <c r="K72" s="7">
        <v>63</v>
      </c>
      <c r="L72" t="str">
        <f t="shared" si="4"/>
        <v>2024.08.01_63</v>
      </c>
      <c r="M72" t="str">
        <f>CONCATENATE(L72,"_",G72,"nM HAtag")</f>
        <v>2024.08.01_63_30nM HAtag</v>
      </c>
    </row>
    <row r="73" spans="1:13" x14ac:dyDescent="0.2">
      <c r="A73" s="4">
        <v>64</v>
      </c>
      <c r="B73" s="4" t="s">
        <v>107</v>
      </c>
      <c r="C73" s="5" t="s">
        <v>25</v>
      </c>
      <c r="D73" s="5" t="s">
        <v>26</v>
      </c>
      <c r="E73" s="4">
        <v>2</v>
      </c>
      <c r="F73" s="4" t="s">
        <v>20</v>
      </c>
      <c r="G73" s="4">
        <v>30</v>
      </c>
      <c r="H73" s="4">
        <v>4</v>
      </c>
      <c r="I73" s="4" t="s">
        <v>18</v>
      </c>
      <c r="J73" s="5">
        <v>144</v>
      </c>
      <c r="K73" s="7">
        <v>64</v>
      </c>
      <c r="L73" t="str">
        <f t="shared" si="4"/>
        <v>2024.08.01_64</v>
      </c>
      <c r="M73" t="str">
        <f>CONCATENATE(L73,"_",G73,"nM HAtag")</f>
        <v>2024.08.01_64_30nM HAtag</v>
      </c>
    </row>
    <row r="74" spans="1:13" x14ac:dyDescent="0.2">
      <c r="A74" s="5" t="s">
        <v>29</v>
      </c>
      <c r="B74" s="5" t="s">
        <v>108</v>
      </c>
      <c r="C74" s="5" t="s">
        <v>25</v>
      </c>
      <c r="D74" s="5" t="s">
        <v>26</v>
      </c>
      <c r="E74" s="4">
        <v>2</v>
      </c>
      <c r="F74" s="5" t="s">
        <v>30</v>
      </c>
      <c r="G74" s="5" t="s">
        <v>30</v>
      </c>
      <c r="H74" s="5" t="s">
        <v>30</v>
      </c>
      <c r="I74" s="5"/>
      <c r="K74" s="15" t="s">
        <v>29</v>
      </c>
      <c r="L74" t="str">
        <f t="shared" si="4"/>
        <v>2024.08.01_pre</v>
      </c>
      <c r="M74" t="str">
        <f>CONCATENATE(L74,"_",G74,"nM")</f>
        <v>2024.08.01_pre_NAnM</v>
      </c>
    </row>
    <row r="75" spans="1:13" x14ac:dyDescent="0.2">
      <c r="A75" s="5" t="s">
        <v>29</v>
      </c>
      <c r="B75" s="5" t="s">
        <v>109</v>
      </c>
      <c r="C75" s="5" t="s">
        <v>22</v>
      </c>
      <c r="D75" s="5" t="s">
        <v>23</v>
      </c>
      <c r="E75" s="5">
        <v>1</v>
      </c>
      <c r="F75" s="5" t="s">
        <v>30</v>
      </c>
      <c r="G75" s="5" t="s">
        <v>30</v>
      </c>
      <c r="H75" s="5" t="s">
        <v>30</v>
      </c>
      <c r="I75" s="5"/>
      <c r="K75" s="15" t="s">
        <v>29</v>
      </c>
      <c r="L75" t="str">
        <f t="shared" si="4"/>
        <v>2024.07.31_pre</v>
      </c>
      <c r="M75" t="str">
        <f>CONCATENATE(L75,"_",G75,"nM")</f>
        <v>2024.07.31_pre_NAnM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H1</vt:lpstr>
      <vt:lpstr>H3</vt:lpstr>
      <vt:lpstr>fluB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Dailey, Katrine Elise</dc:creator>
  <cp:lastModifiedBy>Wang, Yiquan</cp:lastModifiedBy>
  <dcterms:created xsi:type="dcterms:W3CDTF">2024-10-07T21:54:59Z</dcterms:created>
  <dcterms:modified xsi:type="dcterms:W3CDTF">2024-10-14T02:40:09Z</dcterms:modified>
</cp:coreProperties>
</file>